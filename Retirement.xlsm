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5" i="2"/>
  <c r="D4" i="2"/>
  <c r="B7" i="3"/>
  <c r="F3" i="1"/>
  <c r="E3" i="1"/>
  <c r="G4" i="2" l="1"/>
  <c r="G5" i="2" s="1"/>
  <c r="E4" i="2"/>
  <c r="E5" i="2" s="1"/>
  <c r="A7" i="3"/>
  <c r="A8" i="3" s="1"/>
  <c r="B8" i="3" s="1"/>
  <c r="J5" i="1"/>
  <c r="K9" i="1" l="1"/>
  <c r="K10" i="1"/>
  <c r="K11" i="1"/>
  <c r="K12" i="1"/>
  <c r="K8" i="1"/>
  <c r="K7" i="1"/>
  <c r="J9" i="1"/>
  <c r="J11" i="1"/>
  <c r="J12" i="1"/>
  <c r="J10" i="1"/>
  <c r="J8" i="1"/>
  <c r="J7" i="1"/>
  <c r="A9" i="3"/>
  <c r="H5" i="2"/>
  <c r="G6" i="2" s="1"/>
  <c r="F5" i="2"/>
  <c r="E6" i="2" s="1"/>
  <c r="C7" i="3"/>
  <c r="A10" i="3" l="1"/>
  <c r="B9" i="3"/>
  <c r="H6" i="2"/>
  <c r="G7" i="2" s="1"/>
  <c r="F6" i="2"/>
  <c r="A11" i="3" l="1"/>
  <c r="B10" i="3"/>
  <c r="E7" i="2"/>
  <c r="H7" i="2"/>
  <c r="G8" i="2" s="1"/>
  <c r="A12" i="3" l="1"/>
  <c r="B11" i="3"/>
  <c r="F7" i="2"/>
  <c r="E8" i="2" s="1"/>
  <c r="F8" i="2" s="1"/>
  <c r="E9" i="2" s="1"/>
  <c r="F9" i="2" s="1"/>
  <c r="H8" i="2"/>
  <c r="G9" i="2" s="1"/>
  <c r="H9" i="2" s="1"/>
  <c r="D10" i="1"/>
  <c r="D11" i="1"/>
  <c r="D12" i="1"/>
  <c r="B7" i="1"/>
  <c r="A7" i="1"/>
  <c r="A4" i="2" s="1"/>
  <c r="B12" i="3" l="1"/>
  <c r="B8" i="1"/>
  <c r="B4" i="2"/>
  <c r="C8" i="3"/>
  <c r="A8" i="1"/>
  <c r="I7" i="1" l="1"/>
  <c r="J4" i="2" s="1"/>
  <c r="H7" i="1"/>
  <c r="A5" i="2"/>
  <c r="B9" i="1"/>
  <c r="B5" i="2"/>
  <c r="C9" i="3"/>
  <c r="A9" i="1"/>
  <c r="D7" i="1" l="1"/>
  <c r="I4" i="2"/>
  <c r="C7" i="1"/>
  <c r="C4" i="2" s="1"/>
  <c r="A6" i="2"/>
  <c r="B10" i="1"/>
  <c r="B6" i="2"/>
  <c r="C10" i="3"/>
  <c r="A10" i="1"/>
  <c r="A7" i="2" l="1"/>
  <c r="B11" i="1"/>
  <c r="B7" i="2"/>
  <c r="C11" i="3"/>
  <c r="C12" i="3"/>
  <c r="A11" i="1"/>
  <c r="A8" i="2" l="1"/>
  <c r="B12" i="1"/>
  <c r="B9" i="2" s="1"/>
  <c r="B8" i="2"/>
  <c r="A12" i="1"/>
  <c r="A9" i="2" l="1"/>
  <c r="H8" i="1" l="1"/>
  <c r="I8" i="1"/>
  <c r="D8" i="1" l="1"/>
  <c r="I5" i="2"/>
  <c r="C8" i="1"/>
  <c r="J5" i="2"/>
  <c r="C5" i="2" l="1"/>
  <c r="I9" i="1"/>
  <c r="H9" i="1"/>
  <c r="H10" i="1"/>
  <c r="I7" i="2" s="1"/>
  <c r="I10" i="1"/>
  <c r="I11" i="1"/>
  <c r="H11" i="1"/>
  <c r="I8" i="2" s="1"/>
  <c r="I12" i="1"/>
  <c r="H12" i="1"/>
  <c r="I9" i="2" s="1"/>
  <c r="D9" i="1" l="1"/>
  <c r="I6" i="2"/>
  <c r="J8" i="2"/>
  <c r="C11" i="1"/>
  <c r="J7" i="2"/>
  <c r="C10" i="1"/>
  <c r="J9" i="2"/>
  <c r="C12" i="1"/>
  <c r="J6" i="2"/>
  <c r="C9" i="1"/>
  <c r="C6" i="2" l="1"/>
  <c r="C9" i="2"/>
  <c r="C8" i="2"/>
  <c r="C7" i="2"/>
</calcChain>
</file>

<file path=xl/sharedStrings.xml><?xml version="1.0" encoding="utf-8"?>
<sst xmlns="http://schemas.openxmlformats.org/spreadsheetml/2006/main" count="68" uniqueCount="49">
  <si>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</si>
  <si>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</si>
  <si>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</si>
  <si>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</si>
  <si>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</si>
  <si>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</si>
  <si>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</si>
  <si>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</si>
  <si>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</si>
  <si>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</si>
  <si>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</si>
  <si>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</si>
  <si>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</si>
  <si>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</si>
  <si>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</si>
  <si>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</si>
  <si>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</si>
  <si>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</si>
  <si>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</si>
  <si>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</si>
  <si>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</si>
  <si>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</si>
  <si>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</si>
  <si>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</si>
  <si>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</si>
  <si>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</si>
  <si>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</si>
  <si>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</si>
  <si>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</si>
  <si>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</si>
  <si>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</si>
  <si>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</si>
  <si>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</si>
  <si>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</si>
  <si>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</si>
  <si>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</si>
  <si>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</si>
  <si>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</si>
  <si>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</si>
  <si>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Expenses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</si>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</sst>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9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20" xfId="0" applyNumberFormat="1" applyFill="1" applyBorder="1"/>
    <xf numFmtId="166" fontId="0" fillId="4" borderId="21" xfId="0" applyNumberFormat="1" applyFill="1" applyBorder="1"/>
    <xf numFmtId="4" fontId="0" fillId="0" borderId="22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b val="0"/>
        <i/>
      </font>
    </dxf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"/>
  <sheetViews>
    <sheetView tabSelected="1" workbookViewId="0">
      <selection sqref="A1:C1"/>
    </sheetView>
  </sheetViews>
  <sheetFormatPr defaultRowHeight="15" x14ac:dyDescent="0.25"/>
  <cols>
    <col min="1" max="1" width="7.140625" style="22" customWidth="1"/>
    <col min="2" max="2" width="5.7109375" style="22" customWidth="1"/>
    <col min="3" max="5" width="16.42578125" style="7" customWidth="1"/>
    <col min="6" max="6" width="16.42578125" style="7" hidden="1" customWidth="1"/>
    <col min="7" max="7" width="16.42578125" style="7" customWidth="1"/>
    <col min="8" max="8" width="16.42578125" style="7" hidden="1" customWidth="1"/>
    <col min="9" max="10" width="16.42578125" style="7" customWidth="1"/>
    <col min="11" max="11" width="16.42578125" customWidth="1"/>
    <col min="12" max="12" width="2.85546875" customWidth="1"/>
    <col min="13" max="13" width="13.5703125" customWidth="1"/>
    <col min="14" max="14" width="17.28515625" customWidth="1"/>
  </cols>
  <sheetData>
    <row r="1" spans="1:14" ht="16.5" thickBot="1" x14ac:dyDescent="0.3">
      <c r="A1" s="85" t="s">
        <v>48</v>
      </c>
      <c r="B1" s="86"/>
      <c r="C1" s="87"/>
      <c r="D1" s="12"/>
      <c r="E1" s="12"/>
      <c r="F1" s="12"/>
      <c r="G1" s="12"/>
      <c r="H1" s="12"/>
      <c r="I1" s="12"/>
      <c r="J1" s="12"/>
    </row>
    <row r="2" spans="1:14" ht="16.5" thickBot="1" x14ac:dyDescent="0.3">
      <c r="A2" s="88" t="s">
        <v>7</v>
      </c>
      <c r="B2" s="89"/>
      <c r="C2" s="16" t="s">
        <v>8</v>
      </c>
      <c r="D2" s="92" t="s">
        <v>9</v>
      </c>
      <c r="E2" s="93"/>
      <c r="F2" s="93"/>
      <c r="G2" s="93"/>
      <c r="H2" s="94"/>
      <c r="I2" s="90" t="s">
        <v>14</v>
      </c>
      <c r="J2" s="91"/>
      <c r="K2" s="50" t="s">
        <v>37</v>
      </c>
      <c r="M2" s="88" t="s">
        <v>29</v>
      </c>
      <c r="N2" s="89"/>
    </row>
    <row r="3" spans="1:14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38</v>
      </c>
      <c r="G3" s="36" t="s">
        <v>13</v>
      </c>
      <c r="H3" s="36" t="s">
        <v>39</v>
      </c>
      <c r="I3" s="4" t="s">
        <v>15</v>
      </c>
      <c r="J3" s="5" t="s">
        <v>16</v>
      </c>
      <c r="K3" s="15" t="s">
        <v>20</v>
      </c>
      <c r="M3" s="39" t="s">
        <v>30</v>
      </c>
      <c r="N3" s="9" t="s">
        <v>36</v>
      </c>
    </row>
    <row r="4" spans="1:14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9">
        <f ca="1" xml:space="preserve"> IF(Summary!$C7 &lt;&gt; 0, Summary!$C7, Summary!$C$3 * $J4)</f>
        <v>0</v>
      </c>
      <c r="D4" s="27">
        <f xml:space="preserve"> IF(Summary!$D7 &lt;&gt; "", Summary!$D7, IF(COUNT(Summary!$D$7:$D$3000) &lt;&gt; 0, AVERAGE(Summary!$D$7:$D$3000), 0))</f>
        <v>0</v>
      </c>
      <c r="E4" s="56">
        <f xml:space="preserve"> IF(Summary!$E7 &lt;&gt; "", Summary!$E7, 0)</f>
        <v>0</v>
      </c>
      <c r="F4" s="54"/>
      <c r="G4" s="52">
        <f xml:space="preserve"> IF(Summary!$F7 &lt;&gt; "", Summary!$F7, 0)</f>
        <v>0</v>
      </c>
      <c r="H4" s="57"/>
      <c r="I4" s="56">
        <f ca="1" xml:space="preserve"> IF(Summary!$H7 &lt;&gt; "", Summary!$H7, $D4 * $E4)</f>
        <v>0</v>
      </c>
      <c r="J4" s="53">
        <f ca="1" xml:space="preserve"> IF(Summary!$I7 &lt;&gt; "", Summary!$I7, $I4 * (1 + $K$4) ^ (0.5))</f>
        <v>0</v>
      </c>
      <c r="K4" s="51"/>
      <c r="M4" s="40" t="s">
        <v>28</v>
      </c>
      <c r="N4" s="10" t="s">
        <v>35</v>
      </c>
    </row>
    <row r="5" spans="1:14" x14ac:dyDescent="0.25">
      <c r="A5" s="20" t="str">
        <f xml:space="preserve"> IF(Summary!$A8 &lt;&gt; "", Summary!$A8, "")</f>
        <v/>
      </c>
      <c r="B5" s="25" t="str">
        <f xml:space="preserve"> IF(Summary!$B8 &lt;&gt; "", Summary!$B8, "")</f>
        <v/>
      </c>
      <c r="C5" s="60">
        <f ca="1" xml:space="preserve"> IF(Summary!$C8 &lt;&gt; 0, Summary!$C8, Summary!$C$3 * $J5)</f>
        <v>0</v>
      </c>
      <c r="D5" s="28">
        <f xml:space="preserve"> IF(Summary!$D8 &lt;&gt; "", Summary!$D8, IF(COUNT(Summary!$D$7:$D$3000) &lt;&gt; 0, AVERAGE(Summary!$D$7:$D$3000), 0))</f>
        <v>0</v>
      </c>
      <c r="E5" s="58">
        <f xml:space="preserve"> IF(Summary!$E8 &lt;&gt; "", Summary!$E8, $E$4)</f>
        <v>0</v>
      </c>
      <c r="F5" s="54">
        <f xml:space="preserve"> IF($E4 &lt;&gt; 0, ($E5 - $E4) / $E4, 0)</f>
        <v>0</v>
      </c>
      <c r="G5" s="54">
        <f xml:space="preserve"> IF(Summary!$F8 &lt;&gt; "", Summary!$F8, $G$4)</f>
        <v>0</v>
      </c>
      <c r="H5" s="57">
        <f xml:space="preserve"> IF($G4 &lt;&gt; 0, ($G5 - $G4) / $G4, 0)</f>
        <v>0</v>
      </c>
      <c r="I5" s="58">
        <f ca="1" xml:space="preserve"> IF(Summary!$H8 &lt;&gt; "", Summary!$H8, $D5 * $E5)</f>
        <v>0</v>
      </c>
      <c r="J5" s="55">
        <f ca="1" xml:space="preserve"> IF(Summary!$I8 &lt;&gt; "", Summary!$I8, $J4 * (1 + $K$4) + $I5 * (1 + $K$4) ^ (0.5))</f>
        <v>0</v>
      </c>
      <c r="M5" s="40" t="s">
        <v>31</v>
      </c>
      <c r="N5" s="10" t="s">
        <v>33</v>
      </c>
    </row>
    <row r="6" spans="1:14" ht="15.75" thickBot="1" x14ac:dyDescent="0.3">
      <c r="A6" s="20" t="str">
        <f xml:space="preserve"> IF(Summary!$A9 &lt;&gt; "", Summary!$A9, "")</f>
        <v/>
      </c>
      <c r="B6" s="25" t="str">
        <f xml:space="preserve"> IF(Summary!$B9 &lt;&gt; "", Summary!$B9, "")</f>
        <v/>
      </c>
      <c r="C6" s="60">
        <f ca="1" xml:space="preserve"> IF(Summary!$C9 &lt;&gt; 0, Summary!$C9, Summary!$C$3 * $J6)</f>
        <v>0</v>
      </c>
      <c r="D6" s="28">
        <f xml:space="preserve"> IF(Summary!$D9 &lt;&gt; "", Summary!$D9, IF(COUNT(Summary!$D$7:$D$3000) &lt;&gt; 0, AVERAGE(Summary!$D$7:$D$3000), 0))</f>
        <v>0</v>
      </c>
      <c r="E6" s="58">
        <f xml:space="preserve"> IF(Summary!$E9 &lt;&gt; "", Summary!$E9, $E5 * (1 + AVERAGE($F$5:$F5)))</f>
        <v>0</v>
      </c>
      <c r="F6" s="54">
        <f t="shared" ref="F6:F8" si="0" xml:space="preserve"> IF($E5 &lt;&gt; 0, ($E6 - $E5) / $E5, 0)</f>
        <v>0</v>
      </c>
      <c r="G6" s="54">
        <f xml:space="preserve"> IF(Summary!$F9 &lt;&gt; "", Summary!$F9, $G5 * (1 + AVERAGE($H$5:$H5)))</f>
        <v>0</v>
      </c>
      <c r="H6" s="57">
        <f t="shared" ref="H6:H9" si="1" xml:space="preserve"> IF($G5 &lt;&gt; 0, ($G6 - $G5) / $G5, 0)</f>
        <v>0</v>
      </c>
      <c r="I6" s="58">
        <f ca="1" xml:space="preserve"> IF(Summary!$H9 &lt;&gt; "", Summary!$H9, $D6 * $E6)</f>
        <v>0</v>
      </c>
      <c r="J6" s="55">
        <f ca="1" xml:space="preserve"> IF(Summary!$I9 &lt;&gt; "", Summary!$I9, $J5 * (1 + $K$4) + $I6 * (1 + $K$4) ^ (0.5))</f>
        <v>0</v>
      </c>
      <c r="M6" s="41" t="s">
        <v>32</v>
      </c>
      <c r="N6" s="42" t="s">
        <v>34</v>
      </c>
    </row>
    <row r="7" spans="1:14" ht="15.75" thickBot="1" x14ac:dyDescent="0.3">
      <c r="A7" s="20" t="str">
        <f xml:space="preserve"> IF(Summary!$A10 &lt;&gt; "", Summary!$A10, "")</f>
        <v/>
      </c>
      <c r="B7" s="25" t="str">
        <f xml:space="preserve"> IF(Summary!$B10 &lt;&gt; "", Summary!$B10, "")</f>
        <v/>
      </c>
      <c r="C7" s="60">
        <f ca="1" xml:space="preserve"> IF(Summary!$C10 &lt;&gt; 0, Summary!$C10, Summary!$C$3 * $J7)</f>
        <v>0</v>
      </c>
      <c r="D7" s="28">
        <f xml:space="preserve"> IF(Summary!$D10 &lt;&gt; "", Summary!$D10, IF(COUNT(Summary!$D$7:$D$3000) &lt;&gt; 0, AVERAGE(Summary!$D$7:$D$3000), 0))</f>
        <v>0</v>
      </c>
      <c r="E7" s="58">
        <f xml:space="preserve"> IF(Summary!$E10 &lt;&gt; "", Summary!$E10, $E6 * (1 + AVERAGE($F$5:$F6)))</f>
        <v>0</v>
      </c>
      <c r="F7" s="54">
        <f t="shared" si="0"/>
        <v>0</v>
      </c>
      <c r="G7" s="54">
        <f xml:space="preserve"> IF(Summary!$F10 &lt;&gt; "", Summary!$F10, $G6 * (1 + AVERAGE($H$5:$H6)))</f>
        <v>0</v>
      </c>
      <c r="H7" s="57">
        <f t="shared" si="1"/>
        <v>0</v>
      </c>
      <c r="I7" s="58">
        <f ca="1" xml:space="preserve"> IF(Summary!$H10 &lt;&gt; "", Summary!$H10, $D7 * $E7)</f>
        <v>0</v>
      </c>
      <c r="J7" s="55">
        <f ca="1" xml:space="preserve"> IF(Summary!$I10 &lt;&gt; "", Summary!$I10, $J6 * (1 + $K$4) + $I7 * (1 + $K$4) ^ (0.5))</f>
        <v>0</v>
      </c>
    </row>
    <row r="8" spans="1:14" ht="16.5" thickBot="1" x14ac:dyDescent="0.3">
      <c r="A8" s="20" t="str">
        <f xml:space="preserve"> IF(Summary!$A11 &lt;&gt; "", Summary!$A11, "")</f>
        <v/>
      </c>
      <c r="B8" s="25" t="str">
        <f xml:space="preserve"> IF(Summary!$B11 &lt;&gt; "", Summary!$B11, "")</f>
        <v/>
      </c>
      <c r="C8" s="60">
        <f ca="1" xml:space="preserve"> IF(Summary!$C11 &lt;&gt; 0, Summary!$C11, Summary!$C$3 * $J8)</f>
        <v>0</v>
      </c>
      <c r="D8" s="28">
        <f xml:space="preserve"> IF(Summary!$D11 &lt;&gt; "", Summary!$D11, IF(COUNT(Summary!$D$7:$D$3000) &lt;&gt; 0, AVERAGE(Summary!$D$7:$D$3000), 0))</f>
        <v>0</v>
      </c>
      <c r="E8" s="58">
        <f xml:space="preserve"> IF(Summary!$E11 &lt;&gt; "", Summary!$E11, $E7 * (1 + AVERAGE($F$5:$F7)))</f>
        <v>0</v>
      </c>
      <c r="F8" s="54">
        <f t="shared" si="0"/>
        <v>0</v>
      </c>
      <c r="G8" s="54">
        <f xml:space="preserve"> IF(Summary!$F11 &lt;&gt; "", Summary!$F11, $G7 * (1 + AVERAGE($H$5:$H7)))</f>
        <v>0</v>
      </c>
      <c r="H8" s="57">
        <f t="shared" si="1"/>
        <v>0</v>
      </c>
      <c r="I8" s="58">
        <f ca="1" xml:space="preserve"> IF(Summary!$H11 &lt;&gt; "", Summary!$H11, $D8 * $E8)</f>
        <v>0</v>
      </c>
      <c r="J8" s="55">
        <f ca="1" xml:space="preserve"> IF(Summary!$I11 &lt;&gt; "", Summary!$I11, $J7 * (1 + $K$4) + $I8 * (1 + $K$4) ^ (0.5))</f>
        <v>0</v>
      </c>
      <c r="M8" s="83" t="s">
        <v>40</v>
      </c>
      <c r="N8" s="84"/>
    </row>
    <row r="9" spans="1:14" ht="15" customHeight="1" x14ac:dyDescent="0.25">
      <c r="A9" s="20" t="str">
        <f xml:space="preserve"> IF(Summary!$A12 &lt;&gt; "", Summary!$A12, "")</f>
        <v/>
      </c>
      <c r="B9" s="25" t="str">
        <f xml:space="preserve"> IF(Summary!$B12 &lt;&gt; "", Summary!$B12, "")</f>
        <v/>
      </c>
      <c r="C9" s="60">
        <f ca="1" xml:space="preserve"> IF(Summary!$C12 &lt;&gt; 0, Summary!$C12, Summary!$C$3 * $J9)</f>
        <v>0</v>
      </c>
      <c r="D9" s="28">
        <f xml:space="preserve"> IF(Summary!$D12 &lt;&gt; "", Summary!$D12, IF(COUNT(Summary!$D$7:$D$3000) &lt;&gt; 0, AVERAGE(Summary!$D$7:$D$3000), 0))</f>
        <v>0</v>
      </c>
      <c r="E9" s="58">
        <f xml:space="preserve"> IF(Summary!$E12 &lt;&gt; "", Summary!$E12, $E8 * (1 + AVERAGE($F$5:$F8)))</f>
        <v>0</v>
      </c>
      <c r="F9" s="54">
        <f xml:space="preserve"> IF($E8 &lt;&gt; 0, ($E9 - $E8) / $E8, 0)</f>
        <v>0</v>
      </c>
      <c r="G9" s="54">
        <f xml:space="preserve"> IF(Summary!$F12 &lt;&gt; "", Summary!$F12, $G8 * (1 + AVERAGE($H$5:$H8)))</f>
        <v>0</v>
      </c>
      <c r="H9" s="57">
        <f t="shared" si="1"/>
        <v>0</v>
      </c>
      <c r="I9" s="58">
        <f ca="1" xml:space="preserve"> IF(Summary!$H12 &lt;&gt; "", Summary!$H12, $D9 * $E9)</f>
        <v>0</v>
      </c>
      <c r="J9" s="55">
        <f ca="1" xml:space="preserve"> IF(Summary!$I12 &lt;&gt; "", Summary!$I12, $J8 * (1 + $K$4) + $I9 * (1 + $K$4) ^ (0.5))</f>
        <v>0</v>
      </c>
      <c r="M9" s="77" t="s">
        <v>41</v>
      </c>
      <c r="N9" s="78"/>
    </row>
    <row r="10" spans="1:14" x14ac:dyDescent="0.25">
      <c r="A10" s="21"/>
      <c r="B10" s="21"/>
      <c r="C10" s="11"/>
      <c r="D10" s="11"/>
      <c r="E10" s="11"/>
      <c r="F10" s="11"/>
      <c r="G10" s="11"/>
      <c r="H10" s="11"/>
      <c r="I10" s="11"/>
      <c r="J10" s="11"/>
      <c r="M10" s="81"/>
      <c r="N10" s="82"/>
    </row>
    <row r="11" spans="1:14" x14ac:dyDescent="0.25">
      <c r="M11" s="81"/>
      <c r="N11" s="82"/>
    </row>
    <row r="12" spans="1:14" ht="15.75" thickBot="1" x14ac:dyDescent="0.3">
      <c r="M12" s="79"/>
      <c r="N12" s="80"/>
    </row>
    <row r="13" spans="1:14" x14ac:dyDescent="0.25">
      <c r="M13" s="77" t="s">
        <v>45</v>
      </c>
      <c r="N13" s="78"/>
    </row>
    <row r="14" spans="1:14" x14ac:dyDescent="0.25">
      <c r="M14" s="81"/>
      <c r="N14" s="82"/>
    </row>
    <row r="15" spans="1:14" ht="15.75" thickBot="1" x14ac:dyDescent="0.3">
      <c r="M15" s="79"/>
      <c r="N15" s="80"/>
    </row>
    <row r="16" spans="1:14" x14ac:dyDescent="0.25">
      <c r="M16" s="77" t="s">
        <v>42</v>
      </c>
      <c r="N16" s="78"/>
    </row>
    <row r="17" spans="13:14" ht="15.75" thickBot="1" x14ac:dyDescent="0.3">
      <c r="M17" s="79"/>
      <c r="N17" s="80"/>
    </row>
    <row r="18" spans="13:14" ht="15" customHeight="1" x14ac:dyDescent="0.25">
      <c r="M18" s="77" t="s">
        <v>43</v>
      </c>
      <c r="N18" s="78"/>
    </row>
    <row r="19" spans="13:14" x14ac:dyDescent="0.25">
      <c r="M19" s="81"/>
      <c r="N19" s="82"/>
    </row>
    <row r="20" spans="13:14" x14ac:dyDescent="0.25">
      <c r="M20" s="81"/>
      <c r="N20" s="82"/>
    </row>
    <row r="21" spans="13:14" x14ac:dyDescent="0.25">
      <c r="M21" s="81"/>
      <c r="N21" s="82"/>
    </row>
    <row r="22" spans="13:14" ht="15.75" thickBot="1" x14ac:dyDescent="0.3">
      <c r="M22" s="79"/>
      <c r="N22" s="80"/>
    </row>
    <row r="23" spans="13:14" ht="15.75" thickBot="1" x14ac:dyDescent="0.3"/>
    <row r="24" spans="13:14" ht="16.5" thickBot="1" x14ac:dyDescent="0.3">
      <c r="M24" s="83" t="s">
        <v>47</v>
      </c>
      <c r="N24" s="84"/>
    </row>
    <row r="25" spans="13:14" ht="15.75" customHeight="1" x14ac:dyDescent="0.25">
      <c r="M25" s="71" t="s">
        <v>46</v>
      </c>
      <c r="N25" s="72"/>
    </row>
    <row r="26" spans="13:14" x14ac:dyDescent="0.25">
      <c r="M26" s="73"/>
      <c r="N26" s="74"/>
    </row>
    <row r="27" spans="13:14" x14ac:dyDescent="0.25">
      <c r="M27" s="73"/>
      <c r="N27" s="74"/>
    </row>
    <row r="28" spans="13:14" ht="15.75" thickBot="1" x14ac:dyDescent="0.3">
      <c r="M28" s="73"/>
      <c r="N28" s="74"/>
    </row>
    <row r="29" spans="13:14" ht="15" customHeight="1" x14ac:dyDescent="0.25">
      <c r="M29" s="71" t="s">
        <v>44</v>
      </c>
      <c r="N29" s="72"/>
    </row>
    <row r="30" spans="13:14" x14ac:dyDescent="0.25">
      <c r="M30" s="73"/>
      <c r="N30" s="74"/>
    </row>
    <row r="31" spans="13:14" x14ac:dyDescent="0.25">
      <c r="M31" s="73"/>
      <c r="N31" s="74"/>
    </row>
    <row r="32" spans="13:14" ht="15.75" thickBot="1" x14ac:dyDescent="0.3">
      <c r="M32" s="75"/>
      <c r="N32" s="76"/>
    </row>
    <row r="33" spans="13:14" x14ac:dyDescent="0.25">
      <c r="M33" s="68"/>
      <c r="N33" s="68"/>
    </row>
  </sheetData>
  <mergeCells count="13">
    <mergeCell ref="M13:N15"/>
    <mergeCell ref="M8:N8"/>
    <mergeCell ref="M9:N12"/>
    <mergeCell ref="A1:C1"/>
    <mergeCell ref="A2:B2"/>
    <mergeCell ref="I2:J2"/>
    <mergeCell ref="M2:N2"/>
    <mergeCell ref="D2:H2"/>
    <mergeCell ref="M29:N32"/>
    <mergeCell ref="M16:N17"/>
    <mergeCell ref="M18:N22"/>
    <mergeCell ref="M24:N24"/>
    <mergeCell ref="M25:N28"/>
  </mergeCells>
  <conditionalFormatting sqref="A4:J1048576">
    <cfRule type="expression" dxfId="9" priority="1">
      <formula xml:space="preserve"> DATE($A4, 12, 31) &lt;= TODAY()</formula>
    </cfRule>
    <cfRule type="expression" dxfId="8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selection activeCell="K13" sqref="K13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85" t="s">
        <v>0</v>
      </c>
      <c r="B1" s="86"/>
      <c r="C1" s="87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8" t="s">
        <v>7</v>
      </c>
      <c r="B5" s="89"/>
      <c r="C5" s="16" t="s">
        <v>8</v>
      </c>
      <c r="D5" s="92" t="s">
        <v>9</v>
      </c>
      <c r="E5" s="93"/>
      <c r="F5" s="94"/>
      <c r="H5" s="90" t="s">
        <v>14</v>
      </c>
      <c r="I5" s="91"/>
      <c r="J5" s="95" t="str">
        <f ca="1" xml:space="preserve"> SHEETNAME((COLUMN(J$5) - 2) / 2)</f>
        <v/>
      </c>
      <c r="K5" s="96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9" t="s">
        <v>15</v>
      </c>
      <c r="K6" s="70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9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6">
        <f t="shared" ref="H7:H12" ca="1" si="0" xml:space="preserve"> SUMPRODUCT(--(MOD(COLUMN($J7:$XFD7) - COLUMN($J7), 2) = 0), $J7:$XFD7)</f>
        <v>0</v>
      </c>
      <c r="I7" s="53">
        <f t="shared" ref="I7:I12" ca="1" si="1" xml:space="preserve"> SUMPRODUCT(--(MOD(COLUMN($K7:$XFD7) - COLUMN($K7), 2) = 0), $K7:$XFD7)</f>
        <v>0</v>
      </c>
      <c r="J7" s="56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61">
        <f ca="1" xml:space="preserve"> IF(AND(J$5 &lt;&gt; "", $A7 &lt;&gt; ""), IF(AND(INDIRECT("'" &amp; J$5 &amp; "'!$A$7:$A$3000") &lt;&gt; 0, INDIRECT("'" &amp; J$5 &amp; "'!$B$7:$B$3000") &lt;&gt;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60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8">
        <f t="shared" ca="1" si="0"/>
        <v>0</v>
      </c>
      <c r="I8" s="55">
        <f t="shared" ca="1" si="1"/>
        <v>0</v>
      </c>
      <c r="J8" s="58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2">
        <f ca="1" xml:space="preserve"> IF(AND(J$5 &lt;&gt; "", $A8 &lt;&gt; ""), IF(AND(INDIRECT("'" &amp; J$5 &amp; "'!$A$7:$A$3000") &lt;&gt; 0, INDIRECT("'" &amp; J$5 &amp; "'!$B$7:$B$3000") &lt;&gt;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60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8">
        <f t="shared" ca="1" si="0"/>
        <v>0</v>
      </c>
      <c r="I9" s="55">
        <f t="shared" ca="1" si="1"/>
        <v>0</v>
      </c>
      <c r="J9" s="58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2">
        <f ca="1" xml:space="preserve"> IF(AND(J$5 &lt;&gt; "", $A9 &lt;&gt; ""), IF(AND(INDIRECT("'" &amp; J$5 &amp; "'!$A$7:$A$3000") &lt;&gt; 0, INDIRECT("'" &amp; J$5 &amp; "'!$B$7:$B$3000") &lt;&gt;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60">
        <f t="shared" ca="1" si="4"/>
        <v>0</v>
      </c>
      <c r="D10" s="28" t="str">
        <f t="shared" si="5"/>
        <v/>
      </c>
      <c r="E10" s="33"/>
      <c r="F10" s="34"/>
      <c r="H10" s="58">
        <f t="shared" ca="1" si="0"/>
        <v>0</v>
      </c>
      <c r="I10" s="55">
        <f t="shared" ca="1" si="1"/>
        <v>0</v>
      </c>
      <c r="J10" s="58">
        <f t="shared" ca="1" si="6"/>
        <v>0</v>
      </c>
      <c r="K10" s="62">
        <f ca="1" xml:space="preserve"> IF(AND(J$5 &lt;&gt; "", $A10 &lt;&gt; ""), IF(AND(INDIRECT("'" &amp; J$5 &amp; "'!$A$7:$A$3000") &lt;&gt; 0, INDIRECT("'" &amp; J$5 &amp; "'!$B$7:$B$3000") &lt;&gt;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60">
        <f t="shared" ca="1" si="4"/>
        <v>0</v>
      </c>
      <c r="D11" s="28" t="str">
        <f t="shared" si="5"/>
        <v/>
      </c>
      <c r="E11" s="33"/>
      <c r="F11" s="34"/>
      <c r="H11" s="58">
        <f t="shared" ca="1" si="0"/>
        <v>0</v>
      </c>
      <c r="I11" s="55">
        <f t="shared" ca="1" si="1"/>
        <v>0</v>
      </c>
      <c r="J11" s="58">
        <f t="shared" ca="1" si="6"/>
        <v>0</v>
      </c>
      <c r="K11" s="62">
        <f ca="1" xml:space="preserve"> IF(AND(J$5 &lt;&gt; "", $A11 &lt;&gt; ""), IF(AND(INDIRECT("'" &amp; J$5 &amp; "'!$A$7:$A$3000") &lt;&gt; 0, INDIRECT("'" &amp; J$5 &amp; "'!$B$7:$B$3000") &lt;&gt;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60">
        <f t="shared" ca="1" si="4"/>
        <v>0</v>
      </c>
      <c r="D12" s="28" t="str">
        <f t="shared" si="5"/>
        <v/>
      </c>
      <c r="E12" s="33"/>
      <c r="F12" s="34"/>
      <c r="H12" s="58">
        <f t="shared" ca="1" si="0"/>
        <v>0</v>
      </c>
      <c r="I12" s="55">
        <f t="shared" ca="1" si="1"/>
        <v>0</v>
      </c>
      <c r="J12" s="58">
        <f t="shared" ca="1" si="6"/>
        <v>0</v>
      </c>
      <c r="K12" s="62">
        <f ca="1" xml:space="preserve"> IF(AND(J$5 &lt;&gt; "", $A12 &lt;&gt; ""), IF(AND(INDIRECT("'" &amp; J$5 &amp; "'!$A$7:$A$3000") &lt;&gt; 0, INDIRECT("'" &amp; J$5 &amp; "'!$B$7:$B$3000") &lt;&gt;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7" priority="3" operator="greaterThan">
      <formula xml:space="preserve"> $E7</formula>
    </cfRule>
    <cfRule type="cellIs" dxfId="6" priority="4" operator="greaterThan">
      <formula xml:space="preserve"> $F7</formula>
    </cfRule>
    <cfRule type="expression" dxfId="5" priority="5">
      <formula xml:space="preserve"> AND($C7 &lt; $E7, $C7 &lt; $F7)</formula>
    </cfRule>
  </conditionalFormatting>
  <conditionalFormatting sqref="D7:D1048576">
    <cfRule type="expression" dxfId="4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F20" sqref="F20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7" t="s">
        <v>23</v>
      </c>
      <c r="B1" s="98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83" t="s">
        <v>24</v>
      </c>
      <c r="B5" s="99"/>
      <c r="C5" s="84"/>
      <c r="D5" s="83" t="s">
        <v>17</v>
      </c>
      <c r="E5" s="99"/>
      <c r="F5" s="84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5" t="s">
        <v>26</v>
      </c>
      <c r="F6" s="3" t="s">
        <v>40</v>
      </c>
    </row>
    <row r="7" spans="1:6" x14ac:dyDescent="0.25">
      <c r="A7" s="37" t="str">
        <f xml:space="preserve"> IF($A$3 &lt;&gt; "", IF($D$3 = Predictions!$M$4, IF(DAY($A$3) &lt;= 15, DATE(YEAR($A$3), MONTH($A$3), 15), DATE(YEAR($A$3), MONTH($A$3) + 1, 1) - 1), $A$3), "")</f>
        <v/>
      </c>
      <c r="B7" s="52">
        <f xml:space="preserve"> IF($B$3 &lt;&gt; "", $B$3 + SUMIFS($E$7:$E$3000, $D$7:$D$3000, "&lt;=" &amp; $A7), 0)</f>
        <v>0</v>
      </c>
      <c r="C7" s="53">
        <f xml:space="preserve"> $B$7</f>
        <v>0</v>
      </c>
      <c r="D7" s="44"/>
      <c r="E7" s="63"/>
      <c r="F7" s="66"/>
    </row>
    <row r="8" spans="1:6" x14ac:dyDescent="0.25">
      <c r="A8" s="38" t="str">
        <f xml:space="preserve"> IF($A7 &lt;&gt; "", IF($D$3 = Predictions!$M$3, IF($A$3 &lt;&gt; "", EDATE($A$3, ROW($A8) - ROW($A$7)), ""), IF($D$3 = Predictions!$M$4, IF(DAY($A7) = 15, DATE(YEAR($A7), MONTH($A7) + 1, 1) - 1, DATE(YEAR($A7), MONTH($A7) + 1, 15)), IF($D$3 = Predictions!$M$5, $A7 + 14, IF($D$3 = Predictions!$M$6, $A7 + 7, "")))), "")</f>
        <v/>
      </c>
      <c r="B8" s="54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5">
        <f xml:space="preserve"> IF($B8 &lt;&gt; 0, $B8 - $B7, 0)</f>
        <v>0</v>
      </c>
      <c r="D8" s="45"/>
      <c r="E8" s="64"/>
      <c r="F8" s="67"/>
    </row>
    <row r="9" spans="1:6" x14ac:dyDescent="0.25">
      <c r="A9" s="38" t="str">
        <f xml:space="preserve"> IF($A8 &lt;&gt; "", IF($D$3 = Predictions!$M$3, IF($A$3 &lt;&gt; "", EDATE($A$3, ROW($A9) - ROW($A$7)), ""), IF($D$3 = Predictions!$M$4, IF(DAY($A8) = 15, DATE(YEAR($A8), MONTH($A8) + 1, 1) - 1, DATE(YEAR($A8), MONTH($A8) + 1, 15)), IF($D$3 = Predictions!$M$5, $A8 + 14, IF($D$3 = Predictions!$M$6, $A8 + 7, "")))), "")</f>
        <v/>
      </c>
      <c r="B9" s="54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5">
        <f t="shared" ref="C9:C12" si="1" xml:space="preserve"> IF($B9 &lt;&gt; 0, $B9 - $B8, 0)</f>
        <v>0</v>
      </c>
      <c r="D9" s="45"/>
      <c r="E9" s="64"/>
      <c r="F9" s="67"/>
    </row>
    <row r="10" spans="1:6" x14ac:dyDescent="0.25">
      <c r="A10" s="38" t="str">
        <f xml:space="preserve"> IF($A9 &lt;&gt; "", IF($D$3 = Predictions!$M$3, IF($A$3 &lt;&gt; "", EDATE($A$3, ROW($A10) - ROW($A$7)), ""), IF($D$3 = Predictions!$M$4, IF(DAY($A9) = 15, DATE(YEAR($A9), MONTH($A9) + 1, 1) - 1, DATE(YEAR($A9), MONTH($A9) + 1, 15)), IF($D$3 = Predictions!$M$5, $A9 + 14, IF($D$3 = Predictions!$M$6, $A9 + 7, "")))), "")</f>
        <v/>
      </c>
      <c r="B10" s="54">
        <f t="shared" si="0"/>
        <v>0</v>
      </c>
      <c r="C10" s="55">
        <f t="shared" si="1"/>
        <v>0</v>
      </c>
      <c r="D10" s="45"/>
      <c r="E10" s="64"/>
      <c r="F10" s="67"/>
    </row>
    <row r="11" spans="1:6" x14ac:dyDescent="0.25">
      <c r="A11" s="38" t="str">
        <f xml:space="preserve"> IF($A10 &lt;&gt; "", IF($D$3 = Predictions!$M$3, IF($A$3 &lt;&gt; "", EDATE($A$3, ROW($A11) - ROW($A$7)), ""), IF($D$3 = Predictions!$M$4, IF(DAY($A10) = 15, DATE(YEAR($A10), MONTH($A10) + 1, 1) - 1, DATE(YEAR($A10), MONTH($A10) + 1, 15)), IF($D$3 = Predictions!$M$5, $A10 + 14, IF($D$3 = Predictions!$M$6, $A10 + 7, "")))), "")</f>
        <v/>
      </c>
      <c r="B11" s="54">
        <f t="shared" si="0"/>
        <v>0</v>
      </c>
      <c r="C11" s="55">
        <f t="shared" si="1"/>
        <v>0</v>
      </c>
      <c r="D11" s="45"/>
      <c r="E11" s="64"/>
      <c r="F11" s="67"/>
    </row>
    <row r="12" spans="1:6" x14ac:dyDescent="0.25">
      <c r="A12" s="38" t="str">
        <f xml:space="preserve"> IF($A11 &lt;&gt; "", IF($D$3 = Predictions!$M$3, IF($A$3 &lt;&gt; "", EDATE($A$3, ROW($A12) - ROW($A$7)), ""), IF($D$3 = Predictions!$M$4, IF(DAY($A11) = 15, DATE(YEAR($A11), MONTH($A11) + 1, 1) - 1, DATE(YEAR($A11), MONTH($A11) + 1, 15)), IF($D$3 = Predictions!$M$5, $A11 + 14, IF($D$3 = Predictions!$M$6, $A11 + 7, "")))), "")</f>
        <v/>
      </c>
      <c r="B12" s="54">
        <f t="shared" si="0"/>
        <v>0</v>
      </c>
      <c r="C12" s="55">
        <f t="shared" si="1"/>
        <v>0</v>
      </c>
      <c r="D12" s="45"/>
      <c r="E12" s="64"/>
      <c r="F12" s="67"/>
    </row>
  </sheetData>
  <mergeCells count="3">
    <mergeCell ref="A1:B1"/>
    <mergeCell ref="A5:C5"/>
    <mergeCell ref="D5:F5"/>
  </mergeCells>
  <conditionalFormatting sqref="A7:C1048576">
    <cfRule type="expression" dxfId="3" priority="2">
      <formula xml:space="preserve"> $A7 &lt;= TODAY()</formula>
    </cfRule>
    <cfRule type="expression" dxfId="2" priority="1">
      <formula xml:space="preserve"> $A7 &gt;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Predictions!$M$3:$M$5</xm:f>
          </x14:formula1>
          <xm:sqref>D2</xm:sqref>
        </x14:dataValidation>
        <x14:dataValidation type="list" allowBlank="1" showInputMessage="1" showErrorMessage="1">
          <x14:formula1>
            <xm:f>Predictions!$M$3:$M$6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2017-01-27T06:20:22Z</dcterms:modified>
</cp:coreProperties>
</file>