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120" yWindow="150" windowWidth="24915" windowHeight="12075" tabRatio="690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  <sheet name="Graphs" sheetId="33" r:id="rId14"/>
  </sheets>
  <calcPr calcId="152511"/>
</workbook>
</file>

<file path=xl/calcChain.xml><?xml version="1.0" encoding="utf-8"?>
<calcChain xmlns="http://schemas.openxmlformats.org/spreadsheetml/2006/main">
  <c r="Q12" i="18" l="1"/>
  <c r="Q11" i="18"/>
  <c r="Q10" i="18"/>
  <c r="Q9" i="18"/>
  <c r="Q8" i="18"/>
  <c r="Q7" i="18"/>
  <c r="Q6" i="18"/>
  <c r="Q5" i="18"/>
  <c r="Q4" i="18"/>
  <c r="Q3" i="18"/>
  <c r="C36" i="2"/>
  <c r="C36" i="32" l="1"/>
  <c r="B17" i="32"/>
  <c r="H13" i="32"/>
  <c r="J13" i="32" s="1"/>
  <c r="R12" i="32"/>
  <c r="Q12" i="32"/>
  <c r="O12" i="32"/>
  <c r="P12" i="32" s="1"/>
  <c r="K12" i="32"/>
  <c r="J12" i="32"/>
  <c r="I12" i="32"/>
  <c r="G12" i="32"/>
  <c r="Q11" i="32"/>
  <c r="P11" i="32"/>
  <c r="O11" i="32"/>
  <c r="R11" i="32" s="1"/>
  <c r="K11" i="32"/>
  <c r="J11" i="32"/>
  <c r="I11" i="32"/>
  <c r="G11" i="32"/>
  <c r="R10" i="32"/>
  <c r="Q10" i="32"/>
  <c r="O10" i="32"/>
  <c r="P10" i="32" s="1"/>
  <c r="K10" i="32"/>
  <c r="J10" i="32"/>
  <c r="I10" i="32"/>
  <c r="G10" i="32"/>
  <c r="Q9" i="32"/>
  <c r="P9" i="32"/>
  <c r="O9" i="32"/>
  <c r="R9" i="32" s="1"/>
  <c r="K9" i="32"/>
  <c r="J9" i="32"/>
  <c r="I9" i="32"/>
  <c r="G9" i="32"/>
  <c r="O8" i="32"/>
  <c r="K8" i="32"/>
  <c r="J8" i="32"/>
  <c r="I8" i="32"/>
  <c r="G8" i="32"/>
  <c r="Q7" i="32"/>
  <c r="P7" i="32"/>
  <c r="O7" i="32"/>
  <c r="R7" i="32" s="1"/>
  <c r="K7" i="32"/>
  <c r="J7" i="32"/>
  <c r="G7" i="32"/>
  <c r="R6" i="32"/>
  <c r="O6" i="32"/>
  <c r="K6" i="32"/>
  <c r="J6" i="32"/>
  <c r="G6" i="32"/>
  <c r="I6" i="32" s="1"/>
  <c r="Q5" i="32"/>
  <c r="P5" i="32"/>
  <c r="O5" i="32"/>
  <c r="R5" i="32" s="1"/>
  <c r="K5" i="32"/>
  <c r="J5" i="32"/>
  <c r="G5" i="32"/>
  <c r="I5" i="32" s="1"/>
  <c r="O4" i="32"/>
  <c r="K4" i="32"/>
  <c r="J4" i="32"/>
  <c r="G4" i="32"/>
  <c r="I4" i="32" s="1"/>
  <c r="B4" i="32"/>
  <c r="Q3" i="32"/>
  <c r="P3" i="32"/>
  <c r="O3" i="32"/>
  <c r="R3" i="32" s="1"/>
  <c r="K3" i="32"/>
  <c r="J3" i="32"/>
  <c r="G3" i="32"/>
  <c r="C36" i="31"/>
  <c r="B18" i="31"/>
  <c r="B17" i="31"/>
  <c r="J13" i="31"/>
  <c r="H13" i="31"/>
  <c r="P12" i="31"/>
  <c r="O12" i="31"/>
  <c r="Q12" i="31" s="1"/>
  <c r="K12" i="31"/>
  <c r="J12" i="31"/>
  <c r="G12" i="31"/>
  <c r="I12" i="31" s="1"/>
  <c r="P11" i="31"/>
  <c r="O11" i="31"/>
  <c r="Q11" i="31" s="1"/>
  <c r="K11" i="31"/>
  <c r="J11" i="31"/>
  <c r="G11" i="31"/>
  <c r="I11" i="31" s="1"/>
  <c r="Q10" i="31"/>
  <c r="P10" i="31"/>
  <c r="O10" i="31"/>
  <c r="K10" i="31"/>
  <c r="J10" i="31"/>
  <c r="G10" i="31"/>
  <c r="I10" i="31" s="1"/>
  <c r="Q9" i="31"/>
  <c r="P9" i="31"/>
  <c r="O9" i="31"/>
  <c r="K9" i="31"/>
  <c r="J9" i="31"/>
  <c r="I9" i="31"/>
  <c r="G9" i="31"/>
  <c r="O8" i="31"/>
  <c r="K8" i="31"/>
  <c r="J8" i="31"/>
  <c r="G8" i="31"/>
  <c r="I8" i="31" s="1"/>
  <c r="Q7" i="31"/>
  <c r="O7" i="31"/>
  <c r="P7" i="31" s="1"/>
  <c r="K7" i="31"/>
  <c r="J7" i="31"/>
  <c r="G7" i="31"/>
  <c r="N22" i="15" s="1"/>
  <c r="Q6" i="31"/>
  <c r="O6" i="31"/>
  <c r="P6" i="31" s="1"/>
  <c r="K6" i="31"/>
  <c r="J6" i="31"/>
  <c r="I6" i="31"/>
  <c r="G6" i="31"/>
  <c r="Q5" i="31"/>
  <c r="P5" i="31"/>
  <c r="O5" i="31"/>
  <c r="K5" i="31"/>
  <c r="J5" i="31"/>
  <c r="G5" i="31"/>
  <c r="I5" i="31" s="1"/>
  <c r="B5" i="31"/>
  <c r="O4" i="31"/>
  <c r="K4" i="31"/>
  <c r="J4" i="31"/>
  <c r="G4" i="31"/>
  <c r="B4" i="31"/>
  <c r="O3" i="31"/>
  <c r="K3" i="31"/>
  <c r="J3" i="31"/>
  <c r="G3" i="31"/>
  <c r="I3" i="31" s="1"/>
  <c r="C36" i="30"/>
  <c r="B19" i="30"/>
  <c r="B18" i="30"/>
  <c r="B17" i="30"/>
  <c r="J13" i="30"/>
  <c r="H13" i="30"/>
  <c r="Q12" i="30"/>
  <c r="O12" i="30"/>
  <c r="P12" i="30" s="1"/>
  <c r="K12" i="30"/>
  <c r="J12" i="30"/>
  <c r="I12" i="30"/>
  <c r="G12" i="30"/>
  <c r="Q11" i="30"/>
  <c r="O11" i="30"/>
  <c r="P11" i="30" s="1"/>
  <c r="K11" i="30"/>
  <c r="J11" i="30"/>
  <c r="G11" i="30"/>
  <c r="I11" i="30" s="1"/>
  <c r="O10" i="30"/>
  <c r="K10" i="30"/>
  <c r="J10" i="30"/>
  <c r="G10" i="30"/>
  <c r="I10" i="30" s="1"/>
  <c r="P9" i="30"/>
  <c r="O9" i="30"/>
  <c r="Q9" i="30" s="1"/>
  <c r="K9" i="30"/>
  <c r="J9" i="30"/>
  <c r="G9" i="30"/>
  <c r="I9" i="30" s="1"/>
  <c r="Q8" i="30"/>
  <c r="P8" i="30"/>
  <c r="O8" i="30"/>
  <c r="K8" i="30"/>
  <c r="J8" i="30"/>
  <c r="G8" i="30"/>
  <c r="I8" i="30" s="1"/>
  <c r="Q7" i="30"/>
  <c r="P7" i="30"/>
  <c r="O7" i="30"/>
  <c r="K7" i="30"/>
  <c r="J7" i="30"/>
  <c r="G7" i="30"/>
  <c r="I7" i="30" s="1"/>
  <c r="Q6" i="30"/>
  <c r="P6" i="30"/>
  <c r="O6" i="30"/>
  <c r="K6" i="30"/>
  <c r="J6" i="30"/>
  <c r="G6" i="30"/>
  <c r="I6" i="30" s="1"/>
  <c r="B6" i="30"/>
  <c r="O5" i="30"/>
  <c r="K5" i="30"/>
  <c r="J5" i="30"/>
  <c r="I5" i="30"/>
  <c r="G5" i="30"/>
  <c r="B5" i="30"/>
  <c r="Q4" i="30"/>
  <c r="O4" i="30"/>
  <c r="P4" i="30" s="1"/>
  <c r="K4" i="30"/>
  <c r="J4" i="30"/>
  <c r="G4" i="30"/>
  <c r="I4" i="30" s="1"/>
  <c r="B4" i="30"/>
  <c r="Q3" i="30"/>
  <c r="P3" i="30"/>
  <c r="O3" i="30"/>
  <c r="K3" i="30"/>
  <c r="J3" i="30"/>
  <c r="G3" i="30"/>
  <c r="M21" i="15" s="1"/>
  <c r="C36" i="29"/>
  <c r="B18" i="29"/>
  <c r="B17" i="29"/>
  <c r="H13" i="29"/>
  <c r="J13" i="29" s="1"/>
  <c r="Q12" i="29"/>
  <c r="O12" i="29"/>
  <c r="P12" i="29" s="1"/>
  <c r="K12" i="29"/>
  <c r="J12" i="29"/>
  <c r="G12" i="29"/>
  <c r="Q11" i="29"/>
  <c r="O11" i="29"/>
  <c r="P11" i="29" s="1"/>
  <c r="K11" i="29"/>
  <c r="J11" i="29"/>
  <c r="I11" i="29"/>
  <c r="G11" i="29"/>
  <c r="Q10" i="29"/>
  <c r="O10" i="29"/>
  <c r="P10" i="29" s="1"/>
  <c r="K10" i="29"/>
  <c r="J10" i="29"/>
  <c r="I10" i="29"/>
  <c r="G10" i="29"/>
  <c r="Q9" i="29"/>
  <c r="P9" i="29"/>
  <c r="O9" i="29"/>
  <c r="K9" i="29"/>
  <c r="J9" i="29"/>
  <c r="G9" i="29"/>
  <c r="I9" i="29" s="1"/>
  <c r="O8" i="29"/>
  <c r="K8" i="29"/>
  <c r="J8" i="29"/>
  <c r="G8" i="29"/>
  <c r="I8" i="29" s="1"/>
  <c r="O7" i="29"/>
  <c r="K7" i="29"/>
  <c r="J7" i="29"/>
  <c r="G7" i="29"/>
  <c r="I7" i="29" s="1"/>
  <c r="Q6" i="29"/>
  <c r="P6" i="29"/>
  <c r="O6" i="29"/>
  <c r="K6" i="29"/>
  <c r="J6" i="29"/>
  <c r="I6" i="29"/>
  <c r="G6" i="29"/>
  <c r="Q5" i="29"/>
  <c r="P5" i="29"/>
  <c r="O5" i="29"/>
  <c r="K5" i="29"/>
  <c r="J5" i="29"/>
  <c r="G5" i="29"/>
  <c r="I5" i="29" s="1"/>
  <c r="Q4" i="29"/>
  <c r="P4" i="29"/>
  <c r="O4" i="29"/>
  <c r="K4" i="29"/>
  <c r="J4" i="29"/>
  <c r="G4" i="29"/>
  <c r="I4" i="29" s="1"/>
  <c r="B4" i="29"/>
  <c r="O3" i="29"/>
  <c r="K3" i="29"/>
  <c r="J3" i="29"/>
  <c r="G3" i="29"/>
  <c r="I3" i="29" s="1"/>
  <c r="C36" i="28"/>
  <c r="B17" i="28"/>
  <c r="H13" i="28"/>
  <c r="J13" i="28" s="1"/>
  <c r="Q12" i="28"/>
  <c r="P12" i="28"/>
  <c r="O12" i="28"/>
  <c r="K12" i="28"/>
  <c r="J12" i="28"/>
  <c r="G12" i="28"/>
  <c r="Q11" i="28"/>
  <c r="P11" i="28"/>
  <c r="O11" i="28"/>
  <c r="K11" i="28"/>
  <c r="J11" i="28"/>
  <c r="I11" i="28"/>
  <c r="G11" i="28"/>
  <c r="Q10" i="28"/>
  <c r="P10" i="28"/>
  <c r="O10" i="28"/>
  <c r="K10" i="28"/>
  <c r="J10" i="28"/>
  <c r="G10" i="28"/>
  <c r="I10" i="28" s="1"/>
  <c r="O9" i="28"/>
  <c r="K9" i="28"/>
  <c r="J9" i="28"/>
  <c r="I9" i="28"/>
  <c r="G9" i="28"/>
  <c r="Q8" i="28"/>
  <c r="O8" i="28"/>
  <c r="P8" i="28" s="1"/>
  <c r="K8" i="28"/>
  <c r="J8" i="28"/>
  <c r="I8" i="28"/>
  <c r="G8" i="28"/>
  <c r="Q7" i="28"/>
  <c r="P7" i="28"/>
  <c r="O7" i="28"/>
  <c r="K7" i="28"/>
  <c r="J7" i="28"/>
  <c r="G7" i="28"/>
  <c r="I7" i="28" s="1"/>
  <c r="O6" i="28"/>
  <c r="K6" i="28"/>
  <c r="J6" i="28"/>
  <c r="G6" i="28"/>
  <c r="B6" i="28"/>
  <c r="B7" i="28" s="1"/>
  <c r="O5" i="28"/>
  <c r="K5" i="28"/>
  <c r="J5" i="28"/>
  <c r="G5" i="28"/>
  <c r="B5" i="28"/>
  <c r="Q4" i="28"/>
  <c r="P4" i="28"/>
  <c r="O4" i="28"/>
  <c r="K4" i="28"/>
  <c r="J4" i="28"/>
  <c r="G4" i="28"/>
  <c r="I4" i="28" s="1"/>
  <c r="B4" i="28"/>
  <c r="Q3" i="28"/>
  <c r="P3" i="28"/>
  <c r="O3" i="28"/>
  <c r="K3" i="28"/>
  <c r="J3" i="28"/>
  <c r="G3" i="28"/>
  <c r="I3" i="28" s="1"/>
  <c r="C36" i="26"/>
  <c r="B18" i="26"/>
  <c r="B17" i="26"/>
  <c r="H13" i="26"/>
  <c r="J13" i="26" s="1"/>
  <c r="O12" i="26"/>
  <c r="K12" i="26"/>
  <c r="J12" i="26"/>
  <c r="G12" i="26"/>
  <c r="I12" i="26" s="1"/>
  <c r="O11" i="26"/>
  <c r="K11" i="26"/>
  <c r="J11" i="26"/>
  <c r="G11" i="26"/>
  <c r="I11" i="26" s="1"/>
  <c r="Q10" i="26"/>
  <c r="P10" i="26"/>
  <c r="O10" i="26"/>
  <c r="K10" i="26"/>
  <c r="J10" i="26"/>
  <c r="I10" i="26"/>
  <c r="G10" i="26"/>
  <c r="Q9" i="26"/>
  <c r="P9" i="26"/>
  <c r="O9" i="26"/>
  <c r="K9" i="26"/>
  <c r="J9" i="26"/>
  <c r="I9" i="26"/>
  <c r="G9" i="26"/>
  <c r="Q8" i="26"/>
  <c r="P8" i="26"/>
  <c r="O8" i="26"/>
  <c r="K8" i="26"/>
  <c r="J8" i="26"/>
  <c r="G8" i="26"/>
  <c r="I8" i="26" s="1"/>
  <c r="O7" i="26"/>
  <c r="K7" i="26"/>
  <c r="J7" i="26"/>
  <c r="I7" i="26"/>
  <c r="G7" i="26"/>
  <c r="O6" i="26"/>
  <c r="K6" i="26"/>
  <c r="J6" i="26"/>
  <c r="I6" i="26"/>
  <c r="G6" i="26"/>
  <c r="Q5" i="26"/>
  <c r="P5" i="26"/>
  <c r="O5" i="26"/>
  <c r="K5" i="26"/>
  <c r="J5" i="26"/>
  <c r="G5" i="26"/>
  <c r="I5" i="26" s="1"/>
  <c r="B5" i="26"/>
  <c r="O4" i="26"/>
  <c r="K4" i="26"/>
  <c r="J4" i="26"/>
  <c r="G4" i="26"/>
  <c r="I4" i="26" s="1"/>
  <c r="B4" i="26"/>
  <c r="O3" i="26"/>
  <c r="K3" i="26"/>
  <c r="J3" i="26"/>
  <c r="G3" i="26"/>
  <c r="J23" i="15" s="1"/>
  <c r="C36" i="25"/>
  <c r="B19" i="25"/>
  <c r="B18" i="25"/>
  <c r="B17" i="25"/>
  <c r="J13" i="25"/>
  <c r="H13" i="25"/>
  <c r="Q12" i="25"/>
  <c r="O12" i="25"/>
  <c r="P12" i="25" s="1"/>
  <c r="K12" i="25"/>
  <c r="J12" i="25"/>
  <c r="I12" i="25"/>
  <c r="G12" i="25"/>
  <c r="Q11" i="25"/>
  <c r="P11" i="25"/>
  <c r="O11" i="25"/>
  <c r="K11" i="25"/>
  <c r="J11" i="25"/>
  <c r="G11" i="25"/>
  <c r="I11" i="25" s="1"/>
  <c r="O10" i="25"/>
  <c r="K10" i="25"/>
  <c r="J10" i="25"/>
  <c r="G10" i="25"/>
  <c r="I10" i="25" s="1"/>
  <c r="O9" i="25"/>
  <c r="K9" i="25"/>
  <c r="J9" i="25"/>
  <c r="G9" i="25"/>
  <c r="I9" i="25" s="1"/>
  <c r="Q8" i="25"/>
  <c r="P8" i="25"/>
  <c r="O8" i="25"/>
  <c r="K8" i="25"/>
  <c r="J8" i="25"/>
  <c r="I8" i="25"/>
  <c r="G8" i="25"/>
  <c r="Q7" i="25"/>
  <c r="P7" i="25"/>
  <c r="O7" i="25"/>
  <c r="K7" i="25"/>
  <c r="J7" i="25"/>
  <c r="G7" i="25"/>
  <c r="I7" i="25" s="1"/>
  <c r="Q6" i="25"/>
  <c r="P6" i="25"/>
  <c r="O6" i="25"/>
  <c r="K6" i="25"/>
  <c r="J6" i="25"/>
  <c r="G6" i="25"/>
  <c r="I6" i="25" s="1"/>
  <c r="O5" i="25"/>
  <c r="K5" i="25"/>
  <c r="J5" i="25"/>
  <c r="I5" i="25"/>
  <c r="G5" i="25"/>
  <c r="O4" i="25"/>
  <c r="K4" i="25"/>
  <c r="J4" i="25"/>
  <c r="G4" i="25"/>
  <c r="I25" i="15" s="1"/>
  <c r="B4" i="25"/>
  <c r="Q3" i="25"/>
  <c r="P3" i="25"/>
  <c r="O3" i="25"/>
  <c r="K3" i="25"/>
  <c r="J3" i="25"/>
  <c r="G3" i="25"/>
  <c r="C36" i="23"/>
  <c r="B17" i="23"/>
  <c r="J13" i="23"/>
  <c r="H13" i="23"/>
  <c r="Q12" i="23"/>
  <c r="P12" i="23"/>
  <c r="O12" i="23"/>
  <c r="K12" i="23"/>
  <c r="J12" i="23"/>
  <c r="G12" i="23"/>
  <c r="I12" i="23" s="1"/>
  <c r="O11" i="23"/>
  <c r="Q11" i="23" s="1"/>
  <c r="K11" i="23"/>
  <c r="J11" i="23"/>
  <c r="I11" i="23"/>
  <c r="G11" i="23"/>
  <c r="Q10" i="23"/>
  <c r="O10" i="23"/>
  <c r="P10" i="23" s="1"/>
  <c r="K10" i="23"/>
  <c r="J10" i="23"/>
  <c r="I10" i="23"/>
  <c r="G10" i="23"/>
  <c r="Q9" i="23"/>
  <c r="O9" i="23"/>
  <c r="P9" i="23" s="1"/>
  <c r="K9" i="23"/>
  <c r="J9" i="23"/>
  <c r="I9" i="23"/>
  <c r="G9" i="23"/>
  <c r="O8" i="23"/>
  <c r="K8" i="23"/>
  <c r="J8" i="23"/>
  <c r="I8" i="23"/>
  <c r="G8" i="23"/>
  <c r="P7" i="23"/>
  <c r="O7" i="23"/>
  <c r="Q7" i="23" s="1"/>
  <c r="K7" i="23"/>
  <c r="J7" i="23"/>
  <c r="G7" i="23"/>
  <c r="I7" i="23" s="1"/>
  <c r="P6" i="23"/>
  <c r="O6" i="23"/>
  <c r="Q6" i="23" s="1"/>
  <c r="K6" i="23"/>
  <c r="J6" i="23"/>
  <c r="G6" i="23"/>
  <c r="I6" i="23" s="1"/>
  <c r="Q5" i="23"/>
  <c r="P5" i="23"/>
  <c r="O5" i="23"/>
  <c r="K5" i="23"/>
  <c r="J5" i="23"/>
  <c r="G5" i="23"/>
  <c r="I5" i="23" s="1"/>
  <c r="Q4" i="23"/>
  <c r="P4" i="23"/>
  <c r="O4" i="23"/>
  <c r="K4" i="23"/>
  <c r="J4" i="23"/>
  <c r="G4" i="23"/>
  <c r="I4" i="23" s="1"/>
  <c r="B4" i="23"/>
  <c r="B5" i="23" s="1"/>
  <c r="Q3" i="23"/>
  <c r="P3" i="23"/>
  <c r="O3" i="23"/>
  <c r="K3" i="23"/>
  <c r="J3" i="23"/>
  <c r="G3" i="23"/>
  <c r="H20" i="15" s="1"/>
  <c r="C36" i="22"/>
  <c r="B17" i="22"/>
  <c r="J13" i="22"/>
  <c r="H13" i="22"/>
  <c r="P12" i="22"/>
  <c r="O12" i="22"/>
  <c r="Q12" i="22" s="1"/>
  <c r="K12" i="22"/>
  <c r="J12" i="22"/>
  <c r="G12" i="22"/>
  <c r="I12" i="22" s="1"/>
  <c r="Q11" i="22"/>
  <c r="P11" i="22"/>
  <c r="O11" i="22"/>
  <c r="K11" i="22"/>
  <c r="J11" i="22"/>
  <c r="I11" i="22"/>
  <c r="G11" i="22"/>
  <c r="Q10" i="22"/>
  <c r="P10" i="22"/>
  <c r="O10" i="22"/>
  <c r="K10" i="22"/>
  <c r="J10" i="22"/>
  <c r="I10" i="22"/>
  <c r="G10" i="22"/>
  <c r="O9" i="22"/>
  <c r="K9" i="22"/>
  <c r="J9" i="22"/>
  <c r="I9" i="22"/>
  <c r="G9" i="22"/>
  <c r="Q8" i="22"/>
  <c r="O8" i="22"/>
  <c r="P8" i="22" s="1"/>
  <c r="K8" i="22"/>
  <c r="J8" i="22"/>
  <c r="I8" i="22"/>
  <c r="G8" i="22"/>
  <c r="O7" i="22"/>
  <c r="K7" i="22"/>
  <c r="J7" i="22"/>
  <c r="I7" i="22"/>
  <c r="G7" i="22"/>
  <c r="Q6" i="22"/>
  <c r="P6" i="22"/>
  <c r="O6" i="22"/>
  <c r="K6" i="22"/>
  <c r="J6" i="22"/>
  <c r="G6" i="22"/>
  <c r="I6" i="22" s="1"/>
  <c r="G20" i="15" s="1"/>
  <c r="P5" i="22"/>
  <c r="O5" i="22"/>
  <c r="Q5" i="22" s="1"/>
  <c r="K5" i="22"/>
  <c r="J5" i="22"/>
  <c r="G5" i="22"/>
  <c r="I5" i="22" s="1"/>
  <c r="P4" i="22"/>
  <c r="O4" i="22"/>
  <c r="Q4" i="22" s="1"/>
  <c r="K4" i="22"/>
  <c r="J4" i="22"/>
  <c r="G4" i="22"/>
  <c r="I4" i="22" s="1"/>
  <c r="B4" i="22"/>
  <c r="Q3" i="22"/>
  <c r="P3" i="22"/>
  <c r="O3" i="22"/>
  <c r="K3" i="22"/>
  <c r="J3" i="22"/>
  <c r="I3" i="22"/>
  <c r="G3" i="22"/>
  <c r="C36" i="20"/>
  <c r="B18" i="20"/>
  <c r="B17" i="20"/>
  <c r="J13" i="20"/>
  <c r="H13" i="20"/>
  <c r="O12" i="20"/>
  <c r="K12" i="20"/>
  <c r="J12" i="20"/>
  <c r="I12" i="20"/>
  <c r="G12" i="20"/>
  <c r="P11" i="20"/>
  <c r="O11" i="20"/>
  <c r="Q11" i="20" s="1"/>
  <c r="K11" i="20"/>
  <c r="J11" i="20"/>
  <c r="G11" i="20"/>
  <c r="I11" i="20" s="1"/>
  <c r="P10" i="20"/>
  <c r="O10" i="20"/>
  <c r="Q10" i="20" s="1"/>
  <c r="K10" i="20"/>
  <c r="J10" i="20"/>
  <c r="G10" i="20"/>
  <c r="I10" i="20" s="1"/>
  <c r="Q9" i="20"/>
  <c r="P9" i="20"/>
  <c r="O9" i="20"/>
  <c r="K9" i="20"/>
  <c r="J9" i="20"/>
  <c r="I9" i="20"/>
  <c r="G9" i="20"/>
  <c r="Q8" i="20"/>
  <c r="P8" i="20"/>
  <c r="O8" i="20"/>
  <c r="K8" i="20"/>
  <c r="J8" i="20"/>
  <c r="I8" i="20"/>
  <c r="G8" i="20"/>
  <c r="Q7" i="20"/>
  <c r="P7" i="20"/>
  <c r="O7" i="20"/>
  <c r="K7" i="20"/>
  <c r="J7" i="20"/>
  <c r="G7" i="20"/>
  <c r="I7" i="20" s="1"/>
  <c r="Q6" i="20"/>
  <c r="O6" i="20"/>
  <c r="P6" i="20" s="1"/>
  <c r="K6" i="20"/>
  <c r="J6" i="20"/>
  <c r="I6" i="20"/>
  <c r="G6" i="20"/>
  <c r="O5" i="20"/>
  <c r="K5" i="20"/>
  <c r="J5" i="20"/>
  <c r="I5" i="20"/>
  <c r="G5" i="20"/>
  <c r="B5" i="20"/>
  <c r="O4" i="20"/>
  <c r="Q4" i="20" s="1"/>
  <c r="K4" i="20"/>
  <c r="J4" i="20"/>
  <c r="G4" i="20"/>
  <c r="I4" i="20" s="1"/>
  <c r="F18" i="15" s="1"/>
  <c r="B4" i="20"/>
  <c r="O3" i="20"/>
  <c r="K3" i="20"/>
  <c r="J3" i="20"/>
  <c r="G3" i="20"/>
  <c r="C36" i="18"/>
  <c r="B18" i="18"/>
  <c r="B17" i="18"/>
  <c r="H13" i="18"/>
  <c r="J13" i="18" s="1"/>
  <c r="O12" i="18"/>
  <c r="P12" i="18" s="1"/>
  <c r="K12" i="18"/>
  <c r="J12" i="18"/>
  <c r="I12" i="18"/>
  <c r="G12" i="18"/>
  <c r="P11" i="18"/>
  <c r="O11" i="18"/>
  <c r="K11" i="18"/>
  <c r="J11" i="18"/>
  <c r="G11" i="18"/>
  <c r="I11" i="18" s="1"/>
  <c r="O10" i="18"/>
  <c r="K10" i="18"/>
  <c r="J10" i="18"/>
  <c r="G10" i="18"/>
  <c r="I10" i="18" s="1"/>
  <c r="P9" i="18"/>
  <c r="O9" i="18"/>
  <c r="K9" i="18"/>
  <c r="J9" i="18"/>
  <c r="G9" i="18"/>
  <c r="I9" i="18" s="1"/>
  <c r="P8" i="18"/>
  <c r="O8" i="18"/>
  <c r="K8" i="18"/>
  <c r="J8" i="18"/>
  <c r="I8" i="18"/>
  <c r="G8" i="18"/>
  <c r="P7" i="18"/>
  <c r="O7" i="18"/>
  <c r="K7" i="18"/>
  <c r="J7" i="18"/>
  <c r="G7" i="18"/>
  <c r="I7" i="18" s="1"/>
  <c r="P6" i="18"/>
  <c r="O6" i="18"/>
  <c r="K6" i="18"/>
  <c r="J6" i="18"/>
  <c r="G6" i="18"/>
  <c r="B6" i="18"/>
  <c r="P5" i="18"/>
  <c r="O5" i="18"/>
  <c r="K5" i="18"/>
  <c r="J5" i="18"/>
  <c r="G5" i="18"/>
  <c r="I5" i="18" s="1"/>
  <c r="B5" i="18"/>
  <c r="O4" i="18"/>
  <c r="P4" i="18" s="1"/>
  <c r="K4" i="18"/>
  <c r="J4" i="18"/>
  <c r="G4" i="18"/>
  <c r="I4" i="18" s="1"/>
  <c r="B4" i="18"/>
  <c r="O3" i="18"/>
  <c r="P3" i="18" s="1"/>
  <c r="K3" i="18"/>
  <c r="J3" i="18"/>
  <c r="I3" i="18"/>
  <c r="G3" i="18"/>
  <c r="B17" i="2"/>
  <c r="B18" i="2" s="1"/>
  <c r="B19" i="2" s="1"/>
  <c r="R13" i="2"/>
  <c r="H13" i="2"/>
  <c r="J13" i="2" s="1"/>
  <c r="O12" i="2"/>
  <c r="L12" i="2"/>
  <c r="K12" i="2"/>
  <c r="J12" i="2"/>
  <c r="G12" i="2"/>
  <c r="I12" i="2" s="1"/>
  <c r="O11" i="2"/>
  <c r="L11" i="2"/>
  <c r="K11" i="2"/>
  <c r="J11" i="2"/>
  <c r="G11" i="2"/>
  <c r="I11" i="2" s="1"/>
  <c r="O10" i="2"/>
  <c r="L10" i="2"/>
  <c r="K10" i="2"/>
  <c r="J10" i="2"/>
  <c r="G10" i="2"/>
  <c r="I10" i="2" s="1"/>
  <c r="O9" i="2"/>
  <c r="L9" i="2"/>
  <c r="K9" i="2"/>
  <c r="J9" i="2"/>
  <c r="G9" i="2"/>
  <c r="I9" i="2" s="1"/>
  <c r="O8" i="2"/>
  <c r="L8" i="2"/>
  <c r="K8" i="2"/>
  <c r="J8" i="2"/>
  <c r="G8" i="2"/>
  <c r="I8" i="2" s="1"/>
  <c r="O7" i="2"/>
  <c r="L7" i="2"/>
  <c r="K7" i="2"/>
  <c r="J7" i="2"/>
  <c r="G7" i="2"/>
  <c r="I7" i="2" s="1"/>
  <c r="O6" i="2"/>
  <c r="L6" i="2"/>
  <c r="K6" i="2"/>
  <c r="J6" i="2"/>
  <c r="G6" i="2"/>
  <c r="I6" i="2" s="1"/>
  <c r="O5" i="2"/>
  <c r="L5" i="2"/>
  <c r="K5" i="2"/>
  <c r="M5" i="2" s="1"/>
  <c r="J5" i="2"/>
  <c r="G5" i="2"/>
  <c r="I5" i="2" s="1"/>
  <c r="O4" i="2"/>
  <c r="L4" i="2"/>
  <c r="K4" i="2"/>
  <c r="M4" i="2" s="1"/>
  <c r="J4" i="2"/>
  <c r="G4" i="2"/>
  <c r="I4" i="2" s="1"/>
  <c r="B4" i="2"/>
  <c r="O3" i="2"/>
  <c r="L3" i="2"/>
  <c r="K3" i="2"/>
  <c r="M3" i="2" s="1"/>
  <c r="J3" i="2"/>
  <c r="G3" i="2"/>
  <c r="I3" i="2" s="1"/>
  <c r="H41" i="15"/>
  <c r="B41" i="15"/>
  <c r="M26" i="15"/>
  <c r="F26" i="15"/>
  <c r="J24" i="15"/>
  <c r="F24" i="15"/>
  <c r="E24" i="15"/>
  <c r="L22" i="15"/>
  <c r="F22" i="15"/>
  <c r="J20" i="15"/>
  <c r="N19" i="15"/>
  <c r="H18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O9" i="15"/>
  <c r="N9" i="15"/>
  <c r="M9" i="15"/>
  <c r="L9" i="15"/>
  <c r="K9" i="15"/>
  <c r="J9" i="15"/>
  <c r="I9" i="15"/>
  <c r="H9" i="15"/>
  <c r="G9" i="15"/>
  <c r="F9" i="15"/>
  <c r="E9" i="15"/>
  <c r="D9" i="15"/>
  <c r="O8" i="15"/>
  <c r="N8" i="15"/>
  <c r="M8" i="15"/>
  <c r="L8" i="15"/>
  <c r="K8" i="15"/>
  <c r="J8" i="15"/>
  <c r="I8" i="15"/>
  <c r="H8" i="15"/>
  <c r="G8" i="15"/>
  <c r="F8" i="15"/>
  <c r="E8" i="15"/>
  <c r="D8" i="15"/>
  <c r="O7" i="15"/>
  <c r="N7" i="15"/>
  <c r="M7" i="15"/>
  <c r="L7" i="15"/>
  <c r="K7" i="15"/>
  <c r="J7" i="15"/>
  <c r="I7" i="15"/>
  <c r="H7" i="15"/>
  <c r="G7" i="15"/>
  <c r="F7" i="15"/>
  <c r="E7" i="15"/>
  <c r="D7" i="15"/>
  <c r="O6" i="15"/>
  <c r="N6" i="15"/>
  <c r="M6" i="15"/>
  <c r="L6" i="15"/>
  <c r="K6" i="15"/>
  <c r="J6" i="15"/>
  <c r="I6" i="15"/>
  <c r="H6" i="15"/>
  <c r="G6" i="15"/>
  <c r="F6" i="15"/>
  <c r="E6" i="15"/>
  <c r="D6" i="15"/>
  <c r="O5" i="15"/>
  <c r="N5" i="15"/>
  <c r="M5" i="15"/>
  <c r="L5" i="15"/>
  <c r="K5" i="15"/>
  <c r="J5" i="15"/>
  <c r="I5" i="15"/>
  <c r="H5" i="15"/>
  <c r="G5" i="15"/>
  <c r="F5" i="15"/>
  <c r="E5" i="15"/>
  <c r="D5" i="15"/>
  <c r="O4" i="15"/>
  <c r="N4" i="15"/>
  <c r="M4" i="15"/>
  <c r="L4" i="15"/>
  <c r="K4" i="15"/>
  <c r="J4" i="15"/>
  <c r="I4" i="15"/>
  <c r="H4" i="15"/>
  <c r="G4" i="15"/>
  <c r="F4" i="15"/>
  <c r="E4" i="15"/>
  <c r="D4" i="15"/>
  <c r="O3" i="15"/>
  <c r="N3" i="15"/>
  <c r="M3" i="15"/>
  <c r="L3" i="15"/>
  <c r="K3" i="15"/>
  <c r="J3" i="15"/>
  <c r="I3" i="15"/>
  <c r="H3" i="15"/>
  <c r="G3" i="15"/>
  <c r="F3" i="15"/>
  <c r="E3" i="15"/>
  <c r="D3" i="15"/>
  <c r="B3" i="15" l="1"/>
  <c r="P7" i="2"/>
  <c r="Q7" i="2"/>
  <c r="Q4" i="2"/>
  <c r="P4" i="2"/>
  <c r="Q11" i="2"/>
  <c r="P11" i="2"/>
  <c r="Q9" i="2"/>
  <c r="P9" i="2"/>
  <c r="M9" i="2" s="1"/>
  <c r="Q5" i="2"/>
  <c r="P5" i="2"/>
  <c r="Q12" i="2"/>
  <c r="P12" i="2"/>
  <c r="Q3" i="2"/>
  <c r="P3" i="2"/>
  <c r="M10" i="2" s="1"/>
  <c r="Q6" i="2"/>
  <c r="P6" i="2"/>
  <c r="Q8" i="2"/>
  <c r="P8" i="2"/>
  <c r="Q10" i="2"/>
  <c r="P10" i="2"/>
  <c r="D22" i="15"/>
  <c r="B9" i="15"/>
  <c r="B7" i="15"/>
  <c r="J13" i="15"/>
  <c r="K13" i="15"/>
  <c r="B5" i="15"/>
  <c r="D13" i="15"/>
  <c r="L13" i="15"/>
  <c r="H13" i="15"/>
  <c r="O18" i="15"/>
  <c r="D20" i="15"/>
  <c r="H26" i="15"/>
  <c r="I7" i="31"/>
  <c r="F19" i="15"/>
  <c r="G22" i="15"/>
  <c r="G24" i="15"/>
  <c r="L26" i="15"/>
  <c r="I4" i="25"/>
  <c r="H19" i="15"/>
  <c r="D21" i="15"/>
  <c r="N24" i="15"/>
  <c r="F23" i="15"/>
  <c r="N17" i="15"/>
  <c r="J19" i="15"/>
  <c r="J21" i="15"/>
  <c r="G23" i="15"/>
  <c r="G25" i="15"/>
  <c r="G19" i="15"/>
  <c r="I19" i="15"/>
  <c r="I21" i="15"/>
  <c r="F25" i="15"/>
  <c r="G18" i="15"/>
  <c r="M19" i="15"/>
  <c r="D18" i="15"/>
  <c r="B11" i="15"/>
  <c r="Q13" i="18"/>
  <c r="P13" i="30"/>
  <c r="M4" i="30"/>
  <c r="M8" i="30"/>
  <c r="M3" i="31"/>
  <c r="E19" i="15"/>
  <c r="I12" i="29"/>
  <c r="L23" i="15"/>
  <c r="L25" i="15"/>
  <c r="L18" i="15"/>
  <c r="L24" i="15"/>
  <c r="L17" i="15"/>
  <c r="L20" i="15"/>
  <c r="F13" i="15"/>
  <c r="L21" i="15"/>
  <c r="E17" i="15"/>
  <c r="M6" i="23"/>
  <c r="I12" i="28"/>
  <c r="K22" i="15"/>
  <c r="K23" i="15"/>
  <c r="K18" i="15"/>
  <c r="K25" i="15"/>
  <c r="P8" i="32"/>
  <c r="Q8" i="32"/>
  <c r="R8" i="32"/>
  <c r="P13" i="23"/>
  <c r="N13" i="15"/>
  <c r="G13" i="15"/>
  <c r="O13" i="15"/>
  <c r="I7" i="32"/>
  <c r="O21" i="15" s="1"/>
  <c r="O25" i="15"/>
  <c r="O19" i="15"/>
  <c r="O24" i="15"/>
  <c r="O23" i="15"/>
  <c r="O20" i="15"/>
  <c r="B6" i="15"/>
  <c r="M3" i="18"/>
  <c r="B19" i="18"/>
  <c r="B12" i="15"/>
  <c r="M5" i="23"/>
  <c r="P7" i="26"/>
  <c r="Q7" i="26"/>
  <c r="B19" i="26"/>
  <c r="B5" i="22"/>
  <c r="P9" i="28"/>
  <c r="Q9" i="28"/>
  <c r="B10" i="28"/>
  <c r="B11" i="28" s="1"/>
  <c r="Q4" i="31"/>
  <c r="P4" i="31"/>
  <c r="P4" i="32"/>
  <c r="Q4" i="32"/>
  <c r="E13" i="15"/>
  <c r="M13" i="15"/>
  <c r="I13" i="15"/>
  <c r="B8" i="15"/>
  <c r="L13" i="2"/>
  <c r="B20" i="2"/>
  <c r="I3" i="20"/>
  <c r="F20" i="15"/>
  <c r="F21" i="15"/>
  <c r="B19" i="20"/>
  <c r="Q9" i="22"/>
  <c r="P9" i="22"/>
  <c r="M9" i="22" s="1"/>
  <c r="H21" i="15"/>
  <c r="H24" i="15"/>
  <c r="H22" i="15"/>
  <c r="I3" i="23"/>
  <c r="I13" i="23" s="1"/>
  <c r="H25" i="15"/>
  <c r="H23" i="15"/>
  <c r="Q8" i="23"/>
  <c r="Q13" i="23" s="1"/>
  <c r="P8" i="23"/>
  <c r="M9" i="23" s="1"/>
  <c r="B18" i="23"/>
  <c r="M4" i="25"/>
  <c r="P4" i="25"/>
  <c r="Q4" i="25"/>
  <c r="P6" i="26"/>
  <c r="Q6" i="26"/>
  <c r="M4" i="28"/>
  <c r="I6" i="28"/>
  <c r="K20" i="15" s="1"/>
  <c r="K26" i="15"/>
  <c r="K21" i="15"/>
  <c r="L19" i="15"/>
  <c r="M6" i="30"/>
  <c r="M4" i="32"/>
  <c r="R4" i="32"/>
  <c r="E22" i="15"/>
  <c r="E18" i="15"/>
  <c r="B4" i="15"/>
  <c r="B10" i="15"/>
  <c r="E21" i="15"/>
  <c r="D25" i="15"/>
  <c r="D19" i="15"/>
  <c r="D23" i="15"/>
  <c r="D26" i="15"/>
  <c r="D24" i="15"/>
  <c r="B5" i="2"/>
  <c r="B6" i="2" s="1"/>
  <c r="I6" i="18"/>
  <c r="I13" i="18" s="1"/>
  <c r="P10" i="18"/>
  <c r="P13" i="18" s="1"/>
  <c r="Q12" i="20"/>
  <c r="P12" i="20"/>
  <c r="P7" i="22"/>
  <c r="M10" i="22" s="1"/>
  <c r="Q7" i="22"/>
  <c r="M4" i="23"/>
  <c r="P11" i="23"/>
  <c r="M12" i="23" s="1"/>
  <c r="I3" i="26"/>
  <c r="J25" i="15"/>
  <c r="J22" i="15"/>
  <c r="J18" i="15"/>
  <c r="J26" i="15"/>
  <c r="Q4" i="26"/>
  <c r="P4" i="26"/>
  <c r="K17" i="15"/>
  <c r="I13" i="29"/>
  <c r="P5" i="20"/>
  <c r="Q5" i="20"/>
  <c r="M5" i="29"/>
  <c r="I3" i="30"/>
  <c r="I13" i="30" s="1"/>
  <c r="M25" i="15"/>
  <c r="M23" i="15"/>
  <c r="M20" i="15"/>
  <c r="M24" i="15"/>
  <c r="M22" i="15"/>
  <c r="M18" i="15"/>
  <c r="M17" i="15"/>
  <c r="Q3" i="20"/>
  <c r="P3" i="20"/>
  <c r="M6" i="20" s="1"/>
  <c r="M7" i="22"/>
  <c r="I23" i="15"/>
  <c r="I3" i="25"/>
  <c r="I24" i="15"/>
  <c r="I26" i="15"/>
  <c r="I22" i="15"/>
  <c r="I18" i="15"/>
  <c r="I20" i="15"/>
  <c r="P5" i="30"/>
  <c r="M3" i="30" s="1"/>
  <c r="Q5" i="30"/>
  <c r="B20" i="30"/>
  <c r="I4" i="31"/>
  <c r="N18" i="15" s="1"/>
  <c r="N27" i="15" s="1"/>
  <c r="N26" i="15"/>
  <c r="N23" i="15"/>
  <c r="N20" i="15"/>
  <c r="N21" i="15"/>
  <c r="N25" i="15"/>
  <c r="B21" i="2"/>
  <c r="E25" i="15"/>
  <c r="E26" i="15"/>
  <c r="M5" i="18"/>
  <c r="B18" i="22"/>
  <c r="M10" i="23"/>
  <c r="B5" i="25"/>
  <c r="Q8" i="29"/>
  <c r="P8" i="29"/>
  <c r="I13" i="22"/>
  <c r="Q6" i="28"/>
  <c r="P6" i="28"/>
  <c r="M5" i="28" s="1"/>
  <c r="M8" i="20"/>
  <c r="G17" i="15"/>
  <c r="E20" i="15"/>
  <c r="G21" i="15"/>
  <c r="M9" i="18"/>
  <c r="B6" i="20"/>
  <c r="B7" i="20" s="1"/>
  <c r="P4" i="20"/>
  <c r="B6" i="23"/>
  <c r="B7" i="23"/>
  <c r="M5" i="25"/>
  <c r="Q10" i="25"/>
  <c r="P10" i="25"/>
  <c r="M6" i="25" s="1"/>
  <c r="Q10" i="30"/>
  <c r="P10" i="30"/>
  <c r="Q3" i="31"/>
  <c r="P3" i="31"/>
  <c r="P8" i="31"/>
  <c r="Q8" i="31"/>
  <c r="E23" i="15"/>
  <c r="Q11" i="26"/>
  <c r="P11" i="26"/>
  <c r="P3" i="29"/>
  <c r="Q3" i="29"/>
  <c r="M9" i="30"/>
  <c r="B19" i="31"/>
  <c r="M3" i="32"/>
  <c r="M3" i="23"/>
  <c r="M8" i="23"/>
  <c r="P5" i="25"/>
  <c r="M11" i="25" s="1"/>
  <c r="Q5" i="25"/>
  <c r="Q12" i="26"/>
  <c r="P12" i="26"/>
  <c r="M11" i="28"/>
  <c r="Q5" i="28"/>
  <c r="P5" i="28"/>
  <c r="M10" i="30"/>
  <c r="B6" i="31"/>
  <c r="I3" i="32"/>
  <c r="O26" i="15"/>
  <c r="O22" i="15"/>
  <c r="B7" i="18"/>
  <c r="M11" i="23"/>
  <c r="Q9" i="25"/>
  <c r="P9" i="25"/>
  <c r="M7" i="25" s="1"/>
  <c r="Q3" i="26"/>
  <c r="P3" i="26"/>
  <c r="M9" i="26" s="1"/>
  <c r="B9" i="28"/>
  <c r="B8" i="28"/>
  <c r="B18" i="28"/>
  <c r="B5" i="29"/>
  <c r="Q7" i="29"/>
  <c r="P7" i="29"/>
  <c r="M12" i="29" s="1"/>
  <c r="P6" i="32"/>
  <c r="Q6" i="32"/>
  <c r="G26" i="15"/>
  <c r="B20" i="25"/>
  <c r="B7" i="26"/>
  <c r="B6" i="26"/>
  <c r="I5" i="28"/>
  <c r="K19" i="15" s="1"/>
  <c r="K24" i="15"/>
  <c r="M5" i="30"/>
  <c r="B18" i="32"/>
  <c r="B6" i="32"/>
  <c r="B20" i="20"/>
  <c r="B19" i="29"/>
  <c r="B7" i="30"/>
  <c r="B8" i="30" s="1"/>
  <c r="B20" i="26"/>
  <c r="B21" i="26" s="1"/>
  <c r="B5" i="32"/>
  <c r="B20" i="31"/>
  <c r="M6" i="2" l="1"/>
  <c r="N6" i="2" s="1"/>
  <c r="L6" i="18" s="1"/>
  <c r="M11" i="2"/>
  <c r="M12" i="2"/>
  <c r="N12" i="2" s="1"/>
  <c r="L12" i="18" s="1"/>
  <c r="M8" i="2"/>
  <c r="M7" i="2"/>
  <c r="N7" i="2" s="1"/>
  <c r="L7" i="18" s="1"/>
  <c r="B7" i="2"/>
  <c r="B13" i="15"/>
  <c r="H14" i="15" s="1"/>
  <c r="M3" i="20"/>
  <c r="M7" i="20"/>
  <c r="M7" i="18"/>
  <c r="M11" i="18"/>
  <c r="M12" i="18"/>
  <c r="N5" i="2"/>
  <c r="L5" i="18" s="1"/>
  <c r="N5" i="18" s="1"/>
  <c r="L5" i="20" s="1"/>
  <c r="N3" i="2"/>
  <c r="L3" i="18" s="1"/>
  <c r="N3" i="18" s="1"/>
  <c r="L3" i="20" s="1"/>
  <c r="N9" i="2"/>
  <c r="L9" i="18" s="1"/>
  <c r="N9" i="18" s="1"/>
  <c r="L9" i="20" s="1"/>
  <c r="B18" i="15"/>
  <c r="G27" i="15"/>
  <c r="B19" i="15"/>
  <c r="B20" i="15"/>
  <c r="B22" i="15"/>
  <c r="R13" i="32"/>
  <c r="Q13" i="25"/>
  <c r="Q13" i="30"/>
  <c r="Q13" i="28"/>
  <c r="Q13" i="31"/>
  <c r="Q13" i="22"/>
  <c r="Q13" i="32"/>
  <c r="B9" i="30"/>
  <c r="B10" i="30" s="1"/>
  <c r="B12" i="28"/>
  <c r="B22" i="20"/>
  <c r="I13" i="32"/>
  <c r="O17" i="15"/>
  <c r="O27" i="15" s="1"/>
  <c r="M11" i="29"/>
  <c r="P13" i="31"/>
  <c r="M12" i="31"/>
  <c r="M6" i="31"/>
  <c r="M5" i="31"/>
  <c r="M11" i="31"/>
  <c r="M9" i="31"/>
  <c r="M8" i="31"/>
  <c r="Q13" i="29"/>
  <c r="M3" i="25"/>
  <c r="B8" i="20"/>
  <c r="B22" i="2"/>
  <c r="B23" i="2" s="1"/>
  <c r="B24" i="2" s="1"/>
  <c r="M3" i="26"/>
  <c r="I13" i="2"/>
  <c r="D17" i="15"/>
  <c r="K27" i="15"/>
  <c r="M8" i="29"/>
  <c r="N8" i="2"/>
  <c r="L8" i="18" s="1"/>
  <c r="M4" i="29"/>
  <c r="B21" i="30"/>
  <c r="B8" i="26"/>
  <c r="M6" i="22"/>
  <c r="B7" i="31"/>
  <c r="M3" i="29"/>
  <c r="P13" i="29"/>
  <c r="M10" i="29"/>
  <c r="M9" i="29"/>
  <c r="M6" i="29"/>
  <c r="M12" i="26"/>
  <c r="M10" i="31"/>
  <c r="M27" i="15"/>
  <c r="I13" i="28"/>
  <c r="M10" i="25"/>
  <c r="B21" i="15"/>
  <c r="H17" i="15"/>
  <c r="H27" i="15" s="1"/>
  <c r="B21" i="25"/>
  <c r="B19" i="23"/>
  <c r="P13" i="2"/>
  <c r="B6" i="22"/>
  <c r="B7" i="22" s="1"/>
  <c r="L27" i="15"/>
  <c r="M12" i="30"/>
  <c r="M8" i="26"/>
  <c r="B19" i="32"/>
  <c r="B19" i="28"/>
  <c r="M12" i="25"/>
  <c r="B20" i="18"/>
  <c r="M9" i="28"/>
  <c r="B22" i="31"/>
  <c r="I13" i="25"/>
  <c r="I17" i="15"/>
  <c r="I27" i="15" s="1"/>
  <c r="I13" i="26"/>
  <c r="J17" i="15"/>
  <c r="J27" i="15" s="1"/>
  <c r="B25" i="15"/>
  <c r="P13" i="25"/>
  <c r="F17" i="15"/>
  <c r="F27" i="15" s="1"/>
  <c r="I13" i="20"/>
  <c r="P13" i="28"/>
  <c r="B20" i="32"/>
  <c r="P13" i="22"/>
  <c r="M6" i="28"/>
  <c r="N4" i="2"/>
  <c r="L4" i="18" s="1"/>
  <c r="B8" i="23"/>
  <c r="B20" i="29"/>
  <c r="B9" i="23"/>
  <c r="B6" i="25"/>
  <c r="B7" i="25" s="1"/>
  <c r="B19" i="22"/>
  <c r="M7" i="29"/>
  <c r="M4" i="18"/>
  <c r="M3" i="28"/>
  <c r="M7" i="23"/>
  <c r="N10" i="2"/>
  <c r="L10" i="18" s="1"/>
  <c r="M7" i="30"/>
  <c r="M13" i="30" s="1"/>
  <c r="D13" i="30" s="1"/>
  <c r="B7" i="29"/>
  <c r="P13" i="26"/>
  <c r="M10" i="26"/>
  <c r="M5" i="26"/>
  <c r="M11" i="26"/>
  <c r="M6" i="26"/>
  <c r="B9" i="18"/>
  <c r="E27" i="15"/>
  <c r="Q13" i="26"/>
  <c r="M7" i="31"/>
  <c r="Q13" i="2"/>
  <c r="M10" i="28"/>
  <c r="M7" i="28"/>
  <c r="M12" i="32"/>
  <c r="P13" i="32"/>
  <c r="M9" i="32"/>
  <c r="M7" i="32"/>
  <c r="M6" i="32"/>
  <c r="M11" i="32"/>
  <c r="M10" i="32"/>
  <c r="M8" i="32"/>
  <c r="M8" i="22"/>
  <c r="B22" i="26"/>
  <c r="M5" i="22"/>
  <c r="B21" i="31"/>
  <c r="B8" i="18"/>
  <c r="B10" i="18" s="1"/>
  <c r="M12" i="22"/>
  <c r="Q13" i="20"/>
  <c r="M4" i="22"/>
  <c r="M11" i="22"/>
  <c r="B26" i="15"/>
  <c r="M8" i="28"/>
  <c r="M8" i="25"/>
  <c r="B21" i="20"/>
  <c r="M6" i="18"/>
  <c r="M10" i="18"/>
  <c r="M11" i="30"/>
  <c r="B6" i="29"/>
  <c r="B8" i="29" s="1"/>
  <c r="M7" i="26"/>
  <c r="M12" i="20"/>
  <c r="P13" i="20"/>
  <c r="M10" i="20"/>
  <c r="M9" i="20"/>
  <c r="M5" i="20"/>
  <c r="M4" i="20"/>
  <c r="M11" i="20"/>
  <c r="B24" i="15"/>
  <c r="M9" i="25"/>
  <c r="B23" i="26"/>
  <c r="B7" i="32"/>
  <c r="M4" i="31"/>
  <c r="M3" i="22"/>
  <c r="I13" i="31"/>
  <c r="M8" i="18"/>
  <c r="M5" i="32"/>
  <c r="B23" i="15"/>
  <c r="M4" i="26"/>
  <c r="M12" i="28"/>
  <c r="N11" i="2"/>
  <c r="L11" i="18" s="1"/>
  <c r="N6" i="18" l="1"/>
  <c r="L6" i="20" s="1"/>
  <c r="N6" i="20" s="1"/>
  <c r="L6" i="22" s="1"/>
  <c r="N6" i="22" s="1"/>
  <c r="L6" i="23" s="1"/>
  <c r="N6" i="23" s="1"/>
  <c r="L6" i="25" s="1"/>
  <c r="N6" i="25" s="1"/>
  <c r="L6" i="26" s="1"/>
  <c r="N6" i="26" s="1"/>
  <c r="L6" i="28" s="1"/>
  <c r="N6" i="28" s="1"/>
  <c r="L6" i="29" s="1"/>
  <c r="N6" i="29" s="1"/>
  <c r="L6" i="30" s="1"/>
  <c r="N6" i="30" s="1"/>
  <c r="L6" i="31" s="1"/>
  <c r="N6" i="31" s="1"/>
  <c r="L6" i="32" s="1"/>
  <c r="N6" i="32" s="1"/>
  <c r="D34" i="15" s="1"/>
  <c r="C34" i="15" s="1"/>
  <c r="B8" i="2"/>
  <c r="B9" i="2" s="1"/>
  <c r="B10" i="2" s="1"/>
  <c r="N7" i="18"/>
  <c r="L7" i="20" s="1"/>
  <c r="N7" i="20" s="1"/>
  <c r="L7" i="22" s="1"/>
  <c r="N7" i="22" s="1"/>
  <c r="L7" i="23" s="1"/>
  <c r="N7" i="23" s="1"/>
  <c r="L7" i="25" s="1"/>
  <c r="N7" i="25" s="1"/>
  <c r="L7" i="26" s="1"/>
  <c r="N7" i="26" s="1"/>
  <c r="L7" i="28" s="1"/>
  <c r="N7" i="28" s="1"/>
  <c r="L7" i="29" s="1"/>
  <c r="N7" i="29" s="1"/>
  <c r="L7" i="30" s="1"/>
  <c r="N7" i="30" s="1"/>
  <c r="L7" i="31" s="1"/>
  <c r="N7" i="31" s="1"/>
  <c r="L7" i="32" s="1"/>
  <c r="N7" i="32" s="1"/>
  <c r="D35" i="15" s="1"/>
  <c r="C35" i="15" s="1"/>
  <c r="N9" i="20"/>
  <c r="L9" i="22" s="1"/>
  <c r="N9" i="22" s="1"/>
  <c r="L9" i="23" s="1"/>
  <c r="N9" i="23" s="1"/>
  <c r="L9" i="25" s="1"/>
  <c r="N9" i="25" s="1"/>
  <c r="L9" i="26" s="1"/>
  <c r="N9" i="26" s="1"/>
  <c r="L9" i="28" s="1"/>
  <c r="N9" i="28" s="1"/>
  <c r="L9" i="29" s="1"/>
  <c r="N9" i="29" s="1"/>
  <c r="L9" i="30" s="1"/>
  <c r="N9" i="30" s="1"/>
  <c r="L9" i="31" s="1"/>
  <c r="N9" i="31" s="1"/>
  <c r="L9" i="32" s="1"/>
  <c r="N9" i="32" s="1"/>
  <c r="D37" i="15" s="1"/>
  <c r="C37" i="15" s="1"/>
  <c r="C9" i="15"/>
  <c r="C6" i="15"/>
  <c r="O14" i="15"/>
  <c r="C7" i="15"/>
  <c r="E14" i="15"/>
  <c r="C8" i="15"/>
  <c r="C12" i="15"/>
  <c r="F14" i="15"/>
  <c r="D14" i="15"/>
  <c r="N14" i="15"/>
  <c r="M14" i="15"/>
  <c r="K14" i="15"/>
  <c r="C5" i="15"/>
  <c r="I14" i="15"/>
  <c r="C10" i="15"/>
  <c r="C11" i="15"/>
  <c r="C4" i="15"/>
  <c r="L14" i="15"/>
  <c r="G14" i="15"/>
  <c r="J14" i="15"/>
  <c r="C3" i="15"/>
  <c r="N12" i="18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D40" i="15" s="1"/>
  <c r="C40" i="15" s="1"/>
  <c r="N11" i="18"/>
  <c r="L11" i="20" s="1"/>
  <c r="N11" i="20" s="1"/>
  <c r="L11" i="22" s="1"/>
  <c r="N11" i="22" s="1"/>
  <c r="L11" i="23" s="1"/>
  <c r="N11" i="23" s="1"/>
  <c r="L11" i="25" s="1"/>
  <c r="N11" i="25" s="1"/>
  <c r="L11" i="26" s="1"/>
  <c r="N11" i="26" s="1"/>
  <c r="L11" i="28" s="1"/>
  <c r="N11" i="28" s="1"/>
  <c r="L11" i="29" s="1"/>
  <c r="N11" i="29" s="1"/>
  <c r="L11" i="30" s="1"/>
  <c r="N11" i="30" s="1"/>
  <c r="L11" i="31" s="1"/>
  <c r="N11" i="31" s="1"/>
  <c r="L11" i="32" s="1"/>
  <c r="N11" i="32" s="1"/>
  <c r="D39" i="15" s="1"/>
  <c r="C39" i="15" s="1"/>
  <c r="N4" i="18"/>
  <c r="L4" i="20" s="1"/>
  <c r="N4" i="20" s="1"/>
  <c r="L4" i="22" s="1"/>
  <c r="N4" i="22" s="1"/>
  <c r="L4" i="23" s="1"/>
  <c r="N4" i="23" s="1"/>
  <c r="L4" i="25" s="1"/>
  <c r="N4" i="25" s="1"/>
  <c r="L4" i="26" s="1"/>
  <c r="N4" i="26" s="1"/>
  <c r="L4" i="28" s="1"/>
  <c r="N4" i="28" s="1"/>
  <c r="L4" i="29" s="1"/>
  <c r="N4" i="29" s="1"/>
  <c r="L4" i="30" s="1"/>
  <c r="N4" i="30" s="1"/>
  <c r="L4" i="31" s="1"/>
  <c r="N4" i="31" s="1"/>
  <c r="L4" i="32" s="1"/>
  <c r="N4" i="32" s="1"/>
  <c r="D32" i="15" s="1"/>
  <c r="C32" i="15" s="1"/>
  <c r="M13" i="20"/>
  <c r="D13" i="20" s="1"/>
  <c r="M13" i="18"/>
  <c r="D13" i="18" s="1"/>
  <c r="M13" i="32"/>
  <c r="D13" i="32" s="1"/>
  <c r="N5" i="20"/>
  <c r="L5" i="22" s="1"/>
  <c r="N5" i="22" s="1"/>
  <c r="L5" i="23" s="1"/>
  <c r="N5" i="23" s="1"/>
  <c r="L5" i="25" s="1"/>
  <c r="N5" i="25" s="1"/>
  <c r="L5" i="26" s="1"/>
  <c r="N5" i="26" s="1"/>
  <c r="L5" i="28" s="1"/>
  <c r="N5" i="28" s="1"/>
  <c r="L5" i="29" s="1"/>
  <c r="N5" i="29" s="1"/>
  <c r="L5" i="30" s="1"/>
  <c r="N5" i="30" s="1"/>
  <c r="L5" i="31" s="1"/>
  <c r="N5" i="31" s="1"/>
  <c r="L5" i="32" s="1"/>
  <c r="N5" i="32" s="1"/>
  <c r="D33" i="15" s="1"/>
  <c r="C33" i="15" s="1"/>
  <c r="M13" i="31"/>
  <c r="D13" i="31" s="1"/>
  <c r="B24" i="31"/>
  <c r="B11" i="18"/>
  <c r="B12" i="18" s="1"/>
  <c r="B9" i="22"/>
  <c r="B8" i="32"/>
  <c r="B9" i="32" s="1"/>
  <c r="B24" i="30"/>
  <c r="N8" i="18"/>
  <c r="L8" i="20" s="1"/>
  <c r="N8" i="20" s="1"/>
  <c r="L8" i="22" s="1"/>
  <c r="N8" i="22" s="1"/>
  <c r="L8" i="23" s="1"/>
  <c r="N8" i="23" s="1"/>
  <c r="L8" i="25" s="1"/>
  <c r="N8" i="25" s="1"/>
  <c r="L8" i="26" s="1"/>
  <c r="N8" i="26" s="1"/>
  <c r="L8" i="28" s="1"/>
  <c r="N8" i="28" s="1"/>
  <c r="L8" i="29" s="1"/>
  <c r="N8" i="29" s="1"/>
  <c r="L8" i="30" s="1"/>
  <c r="N8" i="30" s="1"/>
  <c r="L8" i="31" s="1"/>
  <c r="N8" i="31" s="1"/>
  <c r="L8" i="32" s="1"/>
  <c r="N8" i="32" s="1"/>
  <c r="D36" i="15" s="1"/>
  <c r="C36" i="15" s="1"/>
  <c r="M13" i="2"/>
  <c r="D13" i="2" s="1"/>
  <c r="B20" i="28"/>
  <c r="N10" i="18"/>
  <c r="L10" i="20" s="1"/>
  <c r="N10" i="20" s="1"/>
  <c r="L10" i="22" s="1"/>
  <c r="N10" i="22" s="1"/>
  <c r="L10" i="23" s="1"/>
  <c r="N10" i="23" s="1"/>
  <c r="L10" i="25" s="1"/>
  <c r="N10" i="25" s="1"/>
  <c r="L10" i="26" s="1"/>
  <c r="N10" i="26" s="1"/>
  <c r="L10" i="28" s="1"/>
  <c r="N10" i="28" s="1"/>
  <c r="L10" i="29" s="1"/>
  <c r="N10" i="29" s="1"/>
  <c r="L10" i="30" s="1"/>
  <c r="N10" i="30" s="1"/>
  <c r="L10" i="31" s="1"/>
  <c r="N10" i="31" s="1"/>
  <c r="L10" i="32" s="1"/>
  <c r="N10" i="32" s="1"/>
  <c r="D38" i="15" s="1"/>
  <c r="C38" i="15" s="1"/>
  <c r="B11" i="30"/>
  <c r="B20" i="23"/>
  <c r="B9" i="20"/>
  <c r="B10" i="20" s="1"/>
  <c r="B22" i="30"/>
  <c r="B23" i="30" s="1"/>
  <c r="M13" i="25"/>
  <c r="D13" i="25" s="1"/>
  <c r="B12" i="30"/>
  <c r="N3" i="20"/>
  <c r="L3" i="22" s="1"/>
  <c r="M13" i="28"/>
  <c r="D13" i="28" s="1"/>
  <c r="B20" i="22"/>
  <c r="B9" i="26"/>
  <c r="B10" i="26" s="1"/>
  <c r="M13" i="29"/>
  <c r="D13" i="29" s="1"/>
  <c r="B21" i="28"/>
  <c r="B23" i="31"/>
  <c r="M13" i="23"/>
  <c r="D13" i="23" s="1"/>
  <c r="B8" i="22"/>
  <c r="B10" i="22" s="1"/>
  <c r="B11" i="22" s="1"/>
  <c r="B23" i="20"/>
  <c r="B8" i="25"/>
  <c r="B22" i="25"/>
  <c r="B10" i="23"/>
  <c r="B11" i="23" s="1"/>
  <c r="B12" i="23" s="1"/>
  <c r="B8" i="31"/>
  <c r="B21" i="18"/>
  <c r="B21" i="29"/>
  <c r="D27" i="15"/>
  <c r="B27" i="15" s="1"/>
  <c r="B17" i="15"/>
  <c r="B25" i="2"/>
  <c r="B9" i="29"/>
  <c r="B11" i="29" s="1"/>
  <c r="B12" i="29" s="1"/>
  <c r="B24" i="26"/>
  <c r="B21" i="32"/>
  <c r="B10" i="29"/>
  <c r="M13" i="22"/>
  <c r="D13" i="22" s="1"/>
  <c r="L13" i="18"/>
  <c r="M13" i="26"/>
  <c r="D13" i="26" s="1"/>
  <c r="B26" i="2" l="1"/>
  <c r="B27" i="2" s="1"/>
  <c r="B11" i="2"/>
  <c r="B12" i="2" s="1"/>
  <c r="N13" i="18"/>
  <c r="B11" i="32"/>
  <c r="B22" i="32"/>
  <c r="B23" i="25"/>
  <c r="B25" i="26"/>
  <c r="B9" i="31"/>
  <c r="B25" i="30"/>
  <c r="B25" i="31"/>
  <c r="B21" i="22"/>
  <c r="B9" i="25"/>
  <c r="B26" i="30"/>
  <c r="B11" i="26"/>
  <c r="B12" i="26" s="1"/>
  <c r="B10" i="32"/>
  <c r="B12" i="32" s="1"/>
  <c r="B22" i="18"/>
  <c r="N3" i="22"/>
  <c r="L3" i="23" s="1"/>
  <c r="L13" i="22"/>
  <c r="N13" i="22" s="1"/>
  <c r="B21" i="23"/>
  <c r="N13" i="2"/>
  <c r="B12" i="22"/>
  <c r="B24" i="20"/>
  <c r="B25" i="20"/>
  <c r="B22" i="23"/>
  <c r="B23" i="28"/>
  <c r="B26" i="26"/>
  <c r="N28" i="15"/>
  <c r="F28" i="15"/>
  <c r="C24" i="15"/>
  <c r="H28" i="15"/>
  <c r="G28" i="15"/>
  <c r="E28" i="15"/>
  <c r="C25" i="15"/>
  <c r="C19" i="15"/>
  <c r="O28" i="15"/>
  <c r="C23" i="15"/>
  <c r="D28" i="15"/>
  <c r="K28" i="15"/>
  <c r="C21" i="15"/>
  <c r="C17" i="15"/>
  <c r="C26" i="15"/>
  <c r="M28" i="15"/>
  <c r="C22" i="15"/>
  <c r="L28" i="15"/>
  <c r="J28" i="15"/>
  <c r="C18" i="15"/>
  <c r="I28" i="15"/>
  <c r="C20" i="15"/>
  <c r="B11" i="20"/>
  <c r="B12" i="20" s="1"/>
  <c r="B22" i="28"/>
  <c r="B22" i="29"/>
  <c r="L13" i="20"/>
  <c r="N13" i="20" s="1"/>
  <c r="B28" i="2" l="1"/>
  <c r="B29" i="2" s="1"/>
  <c r="B23" i="18"/>
  <c r="B25" i="18" s="1"/>
  <c r="B24" i="18"/>
  <c r="B11" i="31"/>
  <c r="B12" i="31" s="1"/>
  <c r="B27" i="30"/>
  <c r="B28" i="30" s="1"/>
  <c r="B29" i="30" s="1"/>
  <c r="B30" i="30" s="1"/>
  <c r="B10" i="31"/>
  <c r="B27" i="31"/>
  <c r="B26" i="31"/>
  <c r="B28" i="26"/>
  <c r="B10" i="25"/>
  <c r="B11" i="25" s="1"/>
  <c r="B12" i="25" s="1"/>
  <c r="B24" i="29"/>
  <c r="B23" i="29"/>
  <c r="N3" i="23"/>
  <c r="L3" i="25" s="1"/>
  <c r="L13" i="23"/>
  <c r="N13" i="23" s="1"/>
  <c r="B23" i="23"/>
  <c r="B26" i="20"/>
  <c r="B27" i="20" s="1"/>
  <c r="B22" i="22"/>
  <c r="B24" i="28"/>
  <c r="B23" i="32"/>
  <c r="B27" i="26"/>
  <c r="B29" i="26"/>
  <c r="B30" i="26" s="1"/>
  <c r="B24" i="25"/>
  <c r="B30" i="2" l="1"/>
  <c r="B31" i="2" s="1"/>
  <c r="B28" i="20"/>
  <c r="B29" i="20" s="1"/>
  <c r="B30" i="20" s="1"/>
  <c r="B26" i="18"/>
  <c r="B27" i="18" s="1"/>
  <c r="B28" i="18" s="1"/>
  <c r="B29" i="18" s="1"/>
  <c r="B30" i="18" s="1"/>
  <c r="B31" i="18" s="1"/>
  <c r="B32" i="18" s="1"/>
  <c r="B33" i="18" s="1"/>
  <c r="B34" i="18" s="1"/>
  <c r="B35" i="18" s="1"/>
  <c r="B23" i="22"/>
  <c r="B26" i="22"/>
  <c r="B27" i="22" s="1"/>
  <c r="B25" i="22"/>
  <c r="B24" i="22"/>
  <c r="B32" i="26"/>
  <c r="B33" i="26" s="1"/>
  <c r="B34" i="26" s="1"/>
  <c r="B35" i="26" s="1"/>
  <c r="B31" i="26"/>
  <c r="B28" i="31"/>
  <c r="B32" i="30"/>
  <c r="B33" i="30" s="1"/>
  <c r="B34" i="30" s="1"/>
  <c r="B24" i="23"/>
  <c r="B25" i="28"/>
  <c r="B26" i="28" s="1"/>
  <c r="B26" i="29"/>
  <c r="N3" i="25"/>
  <c r="L3" i="26" s="1"/>
  <c r="L13" i="25"/>
  <c r="N13" i="25" s="1"/>
  <c r="B29" i="31"/>
  <c r="B30" i="31"/>
  <c r="B31" i="31" s="1"/>
  <c r="B32" i="31" s="1"/>
  <c r="B33" i="31" s="1"/>
  <c r="B34" i="31" s="1"/>
  <c r="B24" i="32"/>
  <c r="B25" i="32" s="1"/>
  <c r="B26" i="32"/>
  <c r="B31" i="30"/>
  <c r="B25" i="25"/>
  <c r="B26" i="25"/>
  <c r="B27" i="28"/>
  <c r="B25" i="29"/>
  <c r="B25" i="23"/>
  <c r="B32" i="2" l="1"/>
  <c r="B33" i="2" s="1"/>
  <c r="B28" i="22"/>
  <c r="B29" i="22" s="1"/>
  <c r="B30" i="22" s="1"/>
  <c r="B31" i="22" s="1"/>
  <c r="B32" i="22" s="1"/>
  <c r="B33" i="22" s="1"/>
  <c r="B34" i="22" s="1"/>
  <c r="B35" i="22" s="1"/>
  <c r="B35" i="31"/>
  <c r="B35" i="30"/>
  <c r="B27" i="25"/>
  <c r="B28" i="25" s="1"/>
  <c r="B29" i="25" s="1"/>
  <c r="B30" i="25" s="1"/>
  <c r="B28" i="28"/>
  <c r="B29" i="28" s="1"/>
  <c r="B30" i="28" s="1"/>
  <c r="B27" i="29"/>
  <c r="L13" i="26"/>
  <c r="N13" i="26" s="1"/>
  <c r="N3" i="26"/>
  <c r="L3" i="28" s="1"/>
  <c r="B26" i="23"/>
  <c r="B27" i="23" s="1"/>
  <c r="B28" i="23" s="1"/>
  <c r="B29" i="23" s="1"/>
  <c r="B30" i="23" s="1"/>
  <c r="B31" i="23" s="1"/>
  <c r="B32" i="23" s="1"/>
  <c r="B33" i="23" s="1"/>
  <c r="B34" i="23" s="1"/>
  <c r="B35" i="23" s="1"/>
  <c r="B27" i="32"/>
  <c r="B28" i="32" s="1"/>
  <c r="B29" i="32" s="1"/>
  <c r="B30" i="32" s="1"/>
  <c r="B31" i="32" s="1"/>
  <c r="B32" i="32" s="1"/>
  <c r="B33" i="32" s="1"/>
  <c r="B34" i="32" s="1"/>
  <c r="B35" i="32" s="1"/>
  <c r="B28" i="29"/>
  <c r="B29" i="29" s="1"/>
  <c r="B31" i="20"/>
  <c r="B34" i="2" l="1"/>
  <c r="B35" i="2" s="1"/>
  <c r="B31" i="29"/>
  <c r="B32" i="29" s="1"/>
  <c r="B33" i="29" s="1"/>
  <c r="B34" i="29" s="1"/>
  <c r="B35" i="29" s="1"/>
  <c r="B30" i="29"/>
  <c r="B31" i="25"/>
  <c r="B32" i="25" s="1"/>
  <c r="B33" i="25" s="1"/>
  <c r="B34" i="25" s="1"/>
  <c r="B35" i="25" s="1"/>
  <c r="B32" i="20"/>
  <c r="B33" i="20" s="1"/>
  <c r="B34" i="20" s="1"/>
  <c r="B35" i="20" s="1"/>
  <c r="B31" i="28"/>
  <c r="B32" i="28" s="1"/>
  <c r="B33" i="28" s="1"/>
  <c r="B34" i="28" s="1"/>
  <c r="B35" i="28" s="1"/>
  <c r="N3" i="28"/>
  <c r="L3" i="29" s="1"/>
  <c r="L13" i="28"/>
  <c r="N13" i="28" s="1"/>
  <c r="N3" i="29" l="1"/>
  <c r="L3" i="30" s="1"/>
  <c r="L13" i="29"/>
  <c r="N13" i="29" s="1"/>
  <c r="N3" i="30" l="1"/>
  <c r="L3" i="31" s="1"/>
  <c r="L13" i="30"/>
  <c r="N13" i="30" s="1"/>
  <c r="L13" i="31" l="1"/>
  <c r="N13" i="31" s="1"/>
  <c r="N3" i="31"/>
  <c r="L3" i="32" s="1"/>
  <c r="L13" i="32" l="1"/>
  <c r="N13" i="32" s="1"/>
  <c r="N3" i="32"/>
  <c r="D31" i="15" s="1"/>
  <c r="D41" i="15" l="1"/>
  <c r="C41" i="15" s="1"/>
  <c r="C31" i="15"/>
</calcChain>
</file>

<file path=xl/sharedStrings.xml><?xml version="1.0" encoding="utf-8"?>
<sst xmlns="http://schemas.openxmlformats.org/spreadsheetml/2006/main" count="391" uniqueCount="43">
  <si>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</si>
  <si>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</si>
  <si>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</si>
  <si>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</si>
  <si>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</si>
  <si>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</si>
  <si>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</si>
  <si>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</si>
  <si>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</si>
  <si>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</si>
  <si>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</si>
  <si>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</si>
  <si>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</si>
  <si>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</si>
  <si>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</si>
  <si>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</si>
  <si>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</si>
  <si>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</si>
  <si>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</si>
  <si>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</si>
  <si>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</si>
  <si>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</si>
  <si>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</si>
  <si>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</si>
  <si>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</si>
  <si>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</si>
  <si>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</si>
  <si>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</si>
  <si>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</si>
  <si>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</si>
  <si>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</si>
  <si>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>Billing End</t>
  </si>
  <si>
    <t>Asset Used to Pay</t>
  </si>
  <si>
    <t>Credit Cards</t>
  </si>
  <si>
    <t>Number of Credit Cards</t>
  </si>
  <si>
    <t>Asset / CC</t>
  </si>
  <si>
    <t>Last Year</t>
  </si>
  <si>
    <t>Next Year</t>
  </si>
  <si>
    <t>Month</t>
  </si>
  <si>
    <t>By Bill</t>
  </si>
  <si>
    <t>Asset</t>
  </si>
  <si>
    <t>Income / Asset</t>
  </si>
  <si>
    <t xml:space="preserve"> Annual Finances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</si>
</sst>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mmm\ dd"/>
    <numFmt numFmtId="165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7" xfId="0" applyBorder="1"/>
    <xf numFmtId="0" fontId="1" fillId="3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0" fontId="0" fillId="0" borderId="19" xfId="0" applyBorder="1" applyAlignment="1"/>
    <xf numFmtId="0" fontId="0" fillId="0" borderId="10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" fillId="3" borderId="12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5" xfId="0" applyNumberFormat="1" applyBorder="1" applyAlignment="1"/>
    <xf numFmtId="4" fontId="0" fillId="0" borderId="12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19" xfId="0" applyNumberFormat="1" applyFill="1" applyBorder="1"/>
    <xf numFmtId="4" fontId="0" fillId="3" borderId="21" xfId="0" applyNumberFormat="1" applyFill="1" applyBorder="1"/>
    <xf numFmtId="4" fontId="0" fillId="3" borderId="14" xfId="0" applyNumberFormat="1" applyFill="1" applyBorder="1"/>
    <xf numFmtId="0" fontId="0" fillId="0" borderId="21" xfId="0" applyBorder="1"/>
    <xf numFmtId="3" fontId="0" fillId="0" borderId="15" xfId="0" applyNumberFormat="1" applyBorder="1"/>
    <xf numFmtId="0" fontId="0" fillId="0" borderId="12" xfId="0" applyBorder="1"/>
    <xf numFmtId="4" fontId="0" fillId="0" borderId="15" xfId="0" applyNumberFormat="1" applyBorder="1"/>
    <xf numFmtId="0" fontId="2" fillId="0" borderId="10" xfId="0" applyFont="1" applyFill="1" applyBorder="1" applyAlignment="1"/>
    <xf numFmtId="49" fontId="4" fillId="0" borderId="22" xfId="0" applyNumberFormat="1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 vertical="top"/>
    </xf>
    <xf numFmtId="0" fontId="4" fillId="0" borderId="20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0" fontId="2" fillId="3" borderId="15" xfId="0" applyFont="1" applyFill="1" applyBorder="1" applyAlignment="1">
      <alignment horizontal="center"/>
    </xf>
    <xf numFmtId="0" fontId="2" fillId="0" borderId="19" xfId="0" applyFont="1" applyFill="1" applyBorder="1" applyAlignment="1"/>
    <xf numFmtId="0" fontId="0" fillId="0" borderId="10" xfId="0" applyBorder="1"/>
    <xf numFmtId="0" fontId="2" fillId="0" borderId="12" xfId="0" applyFont="1" applyFill="1" applyBorder="1" applyAlignment="1"/>
    <xf numFmtId="165" fontId="0" fillId="0" borderId="8" xfId="0" applyNumberFormat="1" applyFill="1" applyBorder="1" applyAlignment="1">
      <alignment horizontal="left"/>
    </xf>
    <xf numFmtId="165" fontId="2" fillId="0" borderId="23" xfId="0" applyNumberFormat="1" applyFont="1" applyFill="1" applyBorder="1" applyAlignment="1">
      <alignment horizontal="left"/>
    </xf>
    <xf numFmtId="165" fontId="2" fillId="0" borderId="8" xfId="0" applyNumberFormat="1" applyFont="1" applyFill="1" applyBorder="1" applyAlignment="1">
      <alignment horizontal="left"/>
    </xf>
    <xf numFmtId="165" fontId="2" fillId="0" borderId="24" xfId="0" applyNumberFormat="1" applyFont="1" applyFill="1" applyBorder="1" applyAlignment="1">
      <alignment horizontal="left"/>
    </xf>
    <xf numFmtId="165" fontId="0" fillId="0" borderId="24" xfId="0" applyNumberForma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Border="1"/>
    <xf numFmtId="43" fontId="0" fillId="3" borderId="12" xfId="0" applyNumberFormat="1" applyFill="1" applyBorder="1"/>
    <xf numFmtId="43" fontId="0" fillId="3" borderId="15" xfId="0" applyNumberFormat="1" applyFill="1" applyBorder="1"/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0" fillId="3" borderId="24" xfId="0" applyFill="1" applyBorder="1"/>
    <xf numFmtId="2" fontId="0" fillId="3" borderId="4" xfId="0" applyNumberFormat="1" applyFill="1" applyBorder="1" applyAlignment="1">
      <alignment horizontal="center"/>
    </xf>
    <xf numFmtId="2" fontId="0" fillId="3" borderId="9" xfId="0" applyNumberFormat="1" applyFill="1" applyBorder="1"/>
    <xf numFmtId="0" fontId="0" fillId="0" borderId="4" xfId="0" applyFill="1" applyBorder="1" applyAlignment="1">
      <alignment horizontal="center"/>
    </xf>
    <xf numFmtId="2" fontId="0" fillId="3" borderId="12" xfId="0" applyNumberFormat="1" applyFill="1" applyBorder="1"/>
    <xf numFmtId="2" fontId="0" fillId="3" borderId="6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2" fontId="0" fillId="0" borderId="9" xfId="0" applyNumberFormat="1" applyBorder="1"/>
    <xf numFmtId="0" fontId="1" fillId="0" borderId="4" xfId="0" applyFont="1" applyFill="1" applyBorder="1" applyAlignment="1">
      <alignment horizontal="center"/>
    </xf>
    <xf numFmtId="2" fontId="0" fillId="3" borderId="11" xfId="0" applyNumberFormat="1" applyFill="1" applyBorder="1"/>
    <xf numFmtId="0" fontId="1" fillId="3" borderId="26" xfId="0" applyFont="1" applyFill="1" applyBorder="1" applyAlignment="1">
      <alignment horizontal="center"/>
    </xf>
    <xf numFmtId="2" fontId="0" fillId="3" borderId="26" xfId="0" applyNumberFormat="1" applyFont="1" applyFill="1" applyBorder="1" applyAlignment="1">
      <alignment horizontal="center"/>
    </xf>
    <xf numFmtId="4" fontId="0" fillId="3" borderId="0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0" xfId="0" applyBorder="1" applyAlignment="1"/>
    <xf numFmtId="0" fontId="0" fillId="0" borderId="28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 applyAlignment="1"/>
    <xf numFmtId="43" fontId="0" fillId="3" borderId="0" xfId="0" applyNumberFormat="1" applyFill="1" applyBorder="1"/>
    <xf numFmtId="43" fontId="0" fillId="3" borderId="10" xfId="0" applyNumberFormat="1" applyFill="1" applyBorder="1"/>
    <xf numFmtId="43" fontId="0" fillId="3" borderId="29" xfId="0" applyNumberFormat="1" applyFill="1" applyBorder="1"/>
    <xf numFmtId="43" fontId="0" fillId="3" borderId="30" xfId="0" applyNumberFormat="1" applyFill="1" applyBorder="1"/>
    <xf numFmtId="43" fontId="0" fillId="3" borderId="8" xfId="0" applyNumberFormat="1" applyFill="1" applyBorder="1"/>
    <xf numFmtId="0" fontId="1" fillId="3" borderId="5" xfId="0" applyFont="1" applyFill="1" applyBorder="1" applyAlignment="1">
      <alignment horizontal="center"/>
    </xf>
    <xf numFmtId="43" fontId="0" fillId="3" borderId="19" xfId="0" applyNumberFormat="1" applyFill="1" applyBorder="1"/>
    <xf numFmtId="43" fontId="0" fillId="3" borderId="5" xfId="0" applyNumberFormat="1" applyFill="1" applyBorder="1"/>
    <xf numFmtId="0" fontId="1" fillId="3" borderId="27" xfId="0" applyFont="1" applyFill="1" applyBorder="1" applyAlignment="1">
      <alignment horizontal="center"/>
    </xf>
    <xf numFmtId="0" fontId="0" fillId="0" borderId="8" xfId="0" applyBorder="1"/>
    <xf numFmtId="43" fontId="0" fillId="3" borderId="23" xfId="0" applyNumberFormat="1" applyFill="1" applyBorder="1"/>
    <xf numFmtId="43" fontId="0" fillId="3" borderId="21" xfId="0" applyNumberFormat="1" applyFill="1" applyBorder="1"/>
    <xf numFmtId="43" fontId="0" fillId="3" borderId="14" xfId="0" applyNumberFormat="1" applyFill="1" applyBorder="1"/>
    <xf numFmtId="10" fontId="0" fillId="3" borderId="34" xfId="0" applyNumberFormat="1" applyFill="1" applyBorder="1"/>
    <xf numFmtId="10" fontId="0" fillId="3" borderId="31" xfId="0" applyNumberFormat="1" applyFill="1" applyBorder="1"/>
    <xf numFmtId="10" fontId="0" fillId="3" borderId="16" xfId="0" applyNumberFormat="1" applyFill="1" applyBorder="1"/>
    <xf numFmtId="10" fontId="0" fillId="3" borderId="35" xfId="0" applyNumberFormat="1" applyFill="1" applyBorder="1"/>
    <xf numFmtId="10" fontId="0" fillId="3" borderId="22" xfId="0" applyNumberFormat="1" applyFill="1" applyBorder="1"/>
    <xf numFmtId="43" fontId="0" fillId="3" borderId="36" xfId="0" applyNumberFormat="1" applyFill="1" applyBorder="1"/>
    <xf numFmtId="43" fontId="0" fillId="3" borderId="37" xfId="0" applyNumberFormat="1" applyFill="1" applyBorder="1"/>
    <xf numFmtId="43" fontId="0" fillId="3" borderId="38" xfId="0" applyNumberFormat="1" applyFill="1" applyBorder="1"/>
    <xf numFmtId="43" fontId="0" fillId="3" borderId="39" xfId="0" applyNumberFormat="1" applyFill="1" applyBorder="1"/>
    <xf numFmtId="10" fontId="0" fillId="3" borderId="21" xfId="0" applyNumberFormat="1" applyFill="1" applyBorder="1"/>
    <xf numFmtId="10" fontId="0" fillId="3" borderId="14" xfId="0" applyNumberFormat="1" applyFill="1" applyBorder="1"/>
    <xf numFmtId="0" fontId="0" fillId="0" borderId="10" xfId="0" applyBorder="1" applyAlignment="1"/>
    <xf numFmtId="0" fontId="3" fillId="3" borderId="6" xfId="0" applyFont="1" applyFill="1" applyBorder="1" applyAlignment="1">
      <alignment horizontal="center" vertical="top"/>
    </xf>
    <xf numFmtId="0" fontId="0" fillId="0" borderId="10" xfId="0" applyBorder="1" applyAlignment="1"/>
    <xf numFmtId="4" fontId="0" fillId="0" borderId="0" xfId="0" applyNumberFormat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19" xfId="0" applyBorder="1" applyAlignment="1"/>
    <xf numFmtId="0" fontId="0" fillId="0" borderId="27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8" xfId="0" applyBorder="1" applyAlignment="1"/>
    <xf numFmtId="0" fontId="1" fillId="2" borderId="23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0" fillId="0" borderId="23" xfId="0" applyBorder="1" applyAlignment="1"/>
    <xf numFmtId="0" fontId="1" fillId="3" borderId="3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43" fontId="0" fillId="3" borderId="23" xfId="0" applyNumberFormat="1" applyFill="1" applyBorder="1" applyAlignment="1">
      <alignment horizontal="center" vertical="center"/>
    </xf>
    <xf numFmtId="43" fontId="0" fillId="3" borderId="27" xfId="0" applyNumberFormat="1" applyFill="1" applyBorder="1" applyAlignment="1">
      <alignment horizontal="center" vertical="center"/>
    </xf>
    <xf numFmtId="43" fontId="0" fillId="3" borderId="22" xfId="0" applyNumberFormat="1" applyFill="1" applyBorder="1" applyAlignment="1">
      <alignment horizontal="center" vertical="center"/>
    </xf>
    <xf numFmtId="43" fontId="0" fillId="3" borderId="3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18" xfId="0" applyBorder="1" applyAlignment="1">
      <alignment horizontal="left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000" baseline="0"/>
              <a:t>Expenses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 cmpd="sng" algn="ctr">
              <a:solidFill>
                <a:srgbClr val="FFFFFF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Annual!$D$27:$O$27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853480"/>
        <c:axId val="313455512"/>
      </c:lineChart>
      <c:catAx>
        <c:axId val="31385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55512"/>
        <c:crosses val="autoZero"/>
        <c:auto val="1"/>
        <c:lblAlgn val="ctr"/>
        <c:lblOffset val="100"/>
        <c:noMultiLvlLbl val="0"/>
      </c:catAx>
      <c:valAx>
        <c:axId val="31345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r>
                  <a:rPr lang="en-US" sz="1600" b="0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5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prstDash val="solid"/>
      <a:round/>
    </a:ln>
    <a:effectLst/>
  </c:spPr>
  <c:txPr>
    <a:bodyPr/>
    <a:lstStyle/>
    <a:p>
      <a:pPr>
        <a:defRPr>
          <a:effectLst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238124</xdr:colOff>
      <xdr:row>34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tabSelected="1" workbookViewId="0">
      <selection activeCell="A3" sqref="A3"/>
    </sheetView>
  </sheetViews>
  <sheetFormatPr defaultRowHeight="15" x14ac:dyDescent="0.25"/>
  <cols>
    <col min="1" max="1" width="17.140625" customWidth="1"/>
    <col min="2" max="15" width="12.140625" customWidth="1"/>
  </cols>
  <sheetData>
    <row r="1" spans="1:15" ht="16.5" thickBot="1" x14ac:dyDescent="0.3">
      <c r="A1" s="141" t="s">
        <v>42</v>
      </c>
      <c r="B1" s="142"/>
    </row>
    <row r="2" spans="1:15" ht="16.5" thickBot="1" x14ac:dyDescent="0.3">
      <c r="A2" s="9" t="s">
        <v>0</v>
      </c>
      <c r="B2" s="147" t="s">
        <v>30</v>
      </c>
      <c r="C2" s="148"/>
      <c r="D2" s="109" t="s">
        <v>1</v>
      </c>
      <c r="E2" s="109" t="s">
        <v>2</v>
      </c>
      <c r="F2" s="109" t="s">
        <v>3</v>
      </c>
      <c r="G2" s="109" t="s">
        <v>4</v>
      </c>
      <c r="H2" s="109" t="s">
        <v>5</v>
      </c>
      <c r="I2" s="109" t="s">
        <v>6</v>
      </c>
      <c r="J2" s="109" t="s">
        <v>7</v>
      </c>
      <c r="K2" s="109" t="s">
        <v>8</v>
      </c>
      <c r="L2" s="109" t="s">
        <v>9</v>
      </c>
      <c r="M2" s="109" t="s">
        <v>10</v>
      </c>
      <c r="N2" s="109" t="s">
        <v>11</v>
      </c>
      <c r="O2" s="112" t="s">
        <v>12</v>
      </c>
    </row>
    <row r="3" spans="1:15" x14ac:dyDescent="0.25">
      <c r="A3" s="113"/>
      <c r="B3" s="114">
        <f t="shared" ref="B3:B13" si="0">SUM($D3:$O3)</f>
        <v>0</v>
      </c>
      <c r="C3" s="126">
        <f t="shared" ref="C3:C12" si="1">IF($B$13, $B3/$B$13, 0)</f>
        <v>0</v>
      </c>
      <c r="D3" s="111">
        <f>SUMIF(January!$C$3:$C$12, $A3, January!$D$3:$D$12)</f>
        <v>0</v>
      </c>
      <c r="E3" s="75">
        <f>SUMIF(February!$C$3:$C$12, $A3, February!$D$3:$D$12)</f>
        <v>0</v>
      </c>
      <c r="F3" s="111">
        <f>SUMIF(March!$C$3:$C$12, $A3, March!$D$3:$D$12)</f>
        <v>0</v>
      </c>
      <c r="G3" s="75">
        <f>SUMIF(April!$C$3:$C$12, $A3, April!$D$3:$D$12)</f>
        <v>0</v>
      </c>
      <c r="H3" s="111">
        <f>SUMIF(May!$C$3:$C$12, $A3, May!$D$3:$D$12)</f>
        <v>0</v>
      </c>
      <c r="I3" s="75">
        <f>SUMIF(June!$C$3:$C$12, $A3, June!$D$3:$D$12)</f>
        <v>0</v>
      </c>
      <c r="J3" s="111">
        <f>SUMIF(July!$C$3:$C$12, $A3, July!$D$3:$D$12)</f>
        <v>0</v>
      </c>
      <c r="K3" s="75">
        <f>SUMIF(August!$C$3:$C$12, $A3, August!$D$3:$D$12)</f>
        <v>0</v>
      </c>
      <c r="L3" s="111">
        <f>SUMIF(September!$C$3:$C$12, $A3, September!$D$3:$D$12)</f>
        <v>0</v>
      </c>
      <c r="M3" s="75">
        <f>SUMIF(October!$C$3:$C$12, $A3, October!$D$3:$D$12)</f>
        <v>0</v>
      </c>
      <c r="N3" s="111">
        <f>SUMIF(November!$C$3:$C$12, $A3, November!$D$3:$D$12)</f>
        <v>0</v>
      </c>
      <c r="O3" s="115">
        <f>SUMIF(December!$C$3:$C$12, $A3, December!$D$3:$D$12)</f>
        <v>0</v>
      </c>
    </row>
    <row r="4" spans="1:15" x14ac:dyDescent="0.25">
      <c r="A4" s="113"/>
      <c r="B4" s="108">
        <f t="shared" si="0"/>
        <v>0</v>
      </c>
      <c r="C4" s="127">
        <f t="shared" si="1"/>
        <v>0</v>
      </c>
      <c r="D4" s="104">
        <f>SUMIF(January!$C$3:$C$12, $A4, January!$D$3:$D$12)</f>
        <v>0</v>
      </c>
      <c r="E4" s="74">
        <f>SUMIF(February!$C$3:$C$12, $A4, February!$D$3:$D$12)</f>
        <v>0</v>
      </c>
      <c r="F4" s="104">
        <f>SUMIF(March!$C$3:$C$12, $A4, March!$D$3:$D$12)</f>
        <v>0</v>
      </c>
      <c r="G4" s="74">
        <f>SUMIF(April!$C$3:$C$12, $A4, April!$D$3:$D$12)</f>
        <v>0</v>
      </c>
      <c r="H4" s="104">
        <f>SUMIF(May!$C$3:$C$12, $A4, May!$D$3:$D$12)</f>
        <v>0</v>
      </c>
      <c r="I4" s="74">
        <f>SUMIF(June!$C$3:$C$12, $A4, June!$D$3:$D$12)</f>
        <v>0</v>
      </c>
      <c r="J4" s="104">
        <f>SUMIF(July!$C$3:$C$12, $A4, July!$D$3:$D$12)</f>
        <v>0</v>
      </c>
      <c r="K4" s="74">
        <f>SUMIF(August!$C$3:$C$12, $A4, August!$D$3:$D$12)</f>
        <v>0</v>
      </c>
      <c r="L4" s="104">
        <f>SUMIF(September!$C$3:$C$12, $A4, September!$D$3:$D$12)</f>
        <v>0</v>
      </c>
      <c r="M4" s="74">
        <f>SUMIF(October!$C$3:$C$12, $A4, October!$D$3:$D$12)</f>
        <v>0</v>
      </c>
      <c r="N4" s="104">
        <f>SUMIF(November!$C$3:$C$12, $A4, November!$D$3:$D$12)</f>
        <v>0</v>
      </c>
      <c r="O4" s="116">
        <f>SUMIF(December!$C$3:$C$12, $A4, December!$D$3:$D$12)</f>
        <v>0</v>
      </c>
    </row>
    <row r="5" spans="1:15" x14ac:dyDescent="0.25">
      <c r="A5" s="113"/>
      <c r="B5" s="108">
        <f t="shared" si="0"/>
        <v>0</v>
      </c>
      <c r="C5" s="127">
        <f t="shared" si="1"/>
        <v>0</v>
      </c>
      <c r="D5" s="104">
        <f>SUMIF(January!$C$3:$C$12, $A5, January!$D$3:$D$12)</f>
        <v>0</v>
      </c>
      <c r="E5" s="74">
        <f>SUMIF(February!$C$3:$C$12, $A5, February!$D$3:$D$12)</f>
        <v>0</v>
      </c>
      <c r="F5" s="104">
        <f>SUMIF(March!$C$3:$C$12, $A5, March!$D$3:$D$12)</f>
        <v>0</v>
      </c>
      <c r="G5" s="74">
        <f>SUMIF(April!$C$3:$C$12, $A5, April!$D$3:$D$12)</f>
        <v>0</v>
      </c>
      <c r="H5" s="104">
        <f>SUMIF(May!$C$3:$C$12, $A5, May!$D$3:$D$12)</f>
        <v>0</v>
      </c>
      <c r="I5" s="74">
        <f>SUMIF(June!$C$3:$C$12, $A5, June!$D$3:$D$12)</f>
        <v>0</v>
      </c>
      <c r="J5" s="104">
        <f>SUMIF(July!$C$3:$C$12, $A5, July!$D$3:$D$12)</f>
        <v>0</v>
      </c>
      <c r="K5" s="74">
        <f>SUMIF(August!$C$3:$C$12, $A5, August!$D$3:$D$12)</f>
        <v>0</v>
      </c>
      <c r="L5" s="104">
        <f>SUMIF(September!$C$3:$C$12, $A5, September!$D$3:$D$12)</f>
        <v>0</v>
      </c>
      <c r="M5" s="74">
        <f>SUMIF(October!$C$3:$C$12, $A5, October!$D$3:$D$12)</f>
        <v>0</v>
      </c>
      <c r="N5" s="104">
        <f>SUMIF(November!$C$3:$C$12, $A5, November!$D$3:$D$12)</f>
        <v>0</v>
      </c>
      <c r="O5" s="116">
        <f>SUMIF(December!$C$3:$C$12, $A5, December!$D$3:$D$12)</f>
        <v>0</v>
      </c>
    </row>
    <row r="6" spans="1:15" x14ac:dyDescent="0.25">
      <c r="A6" s="113"/>
      <c r="B6" s="108">
        <f t="shared" si="0"/>
        <v>0</v>
      </c>
      <c r="C6" s="127">
        <f t="shared" si="1"/>
        <v>0</v>
      </c>
      <c r="D6" s="104">
        <f>SUMIF(January!$C$3:$C$12, $A6, January!$D$3:$D$12)</f>
        <v>0</v>
      </c>
      <c r="E6" s="74">
        <f>SUMIF(February!$C$3:$C$12, $A6, February!$D$3:$D$12)</f>
        <v>0</v>
      </c>
      <c r="F6" s="104">
        <f>SUMIF(March!$C$3:$C$12, $A6, March!$D$3:$D$12)</f>
        <v>0</v>
      </c>
      <c r="G6" s="74">
        <f>SUMIF(April!$C$3:$C$12, $A6, April!$D$3:$D$12)</f>
        <v>0</v>
      </c>
      <c r="H6" s="104">
        <f>SUMIF(May!$C$3:$C$12, $A6, May!$D$3:$D$12)</f>
        <v>0</v>
      </c>
      <c r="I6" s="74">
        <f>SUMIF(June!$C$3:$C$12, $A6, June!$D$3:$D$12)</f>
        <v>0</v>
      </c>
      <c r="J6" s="104">
        <f>SUMIF(July!$C$3:$C$12, $A6, July!$D$3:$D$12)</f>
        <v>0</v>
      </c>
      <c r="K6" s="74">
        <f>SUMIF(August!$C$3:$C$12, $A6, August!$D$3:$D$12)</f>
        <v>0</v>
      </c>
      <c r="L6" s="104">
        <f>SUMIF(September!$C$3:$C$12, $A6, September!$D$3:$D$12)</f>
        <v>0</v>
      </c>
      <c r="M6" s="74">
        <f>SUMIF(October!$C$3:$C$12, $A6, October!$D$3:$D$12)</f>
        <v>0</v>
      </c>
      <c r="N6" s="104">
        <f>SUMIF(November!$C$3:$C$12, $A6, November!$D$3:$D$12)</f>
        <v>0</v>
      </c>
      <c r="O6" s="116">
        <f>SUMIF(December!$C$3:$C$12, $A6, December!$D$3:$D$12)</f>
        <v>0</v>
      </c>
    </row>
    <row r="7" spans="1:15" x14ac:dyDescent="0.25">
      <c r="A7" s="113"/>
      <c r="B7" s="108">
        <f t="shared" si="0"/>
        <v>0</v>
      </c>
      <c r="C7" s="127">
        <f t="shared" si="1"/>
        <v>0</v>
      </c>
      <c r="D7" s="104">
        <f>SUMIF(January!$C$3:$C$12, $A7, January!$D$3:$D$12)</f>
        <v>0</v>
      </c>
      <c r="E7" s="74">
        <f>SUMIF(February!$C$3:$C$12, $A7, February!$D$3:$D$12)</f>
        <v>0</v>
      </c>
      <c r="F7" s="104">
        <f>SUMIF(March!$C$3:$C$12, $A7, March!$D$3:$D$12)</f>
        <v>0</v>
      </c>
      <c r="G7" s="74">
        <f>SUMIF(April!$C$3:$C$12, $A7, April!$D$3:$D$12)</f>
        <v>0</v>
      </c>
      <c r="H7" s="104">
        <f>SUMIF(May!$C$3:$C$12, $A7, May!$D$3:$D$12)</f>
        <v>0</v>
      </c>
      <c r="I7" s="74">
        <f>SUMIF(June!$C$3:$C$12, $A7, June!$D$3:$D$12)</f>
        <v>0</v>
      </c>
      <c r="J7" s="104">
        <f>SUMIF(July!$C$3:$C$12, $A7, July!$D$3:$D$12)</f>
        <v>0</v>
      </c>
      <c r="K7" s="74">
        <f>SUMIF(August!$C$3:$C$12, $A7, August!$D$3:$D$12)</f>
        <v>0</v>
      </c>
      <c r="L7" s="104">
        <f>SUMIF(September!$C$3:$C$12, $A7, September!$D$3:$D$12)</f>
        <v>0</v>
      </c>
      <c r="M7" s="74">
        <f>SUMIF(October!$C$3:$C$12, $A7, October!$D$3:$D$12)</f>
        <v>0</v>
      </c>
      <c r="N7" s="104">
        <f>SUMIF(November!$C$3:$C$12, $A7, November!$D$3:$D$12)</f>
        <v>0</v>
      </c>
      <c r="O7" s="116">
        <f>SUMIF(December!$C$3:$C$12, $A7, December!$D$3:$D$12)</f>
        <v>0</v>
      </c>
    </row>
    <row r="8" spans="1:15" x14ac:dyDescent="0.25">
      <c r="A8" s="113"/>
      <c r="B8" s="108">
        <f t="shared" si="0"/>
        <v>0</v>
      </c>
      <c r="C8" s="127">
        <f t="shared" si="1"/>
        <v>0</v>
      </c>
      <c r="D8" s="104">
        <f>SUMIF(January!$C$3:$C$12, $A8, January!$D$3:$D$12)</f>
        <v>0</v>
      </c>
      <c r="E8" s="74">
        <f>SUMIF(February!$C$3:$C$12, $A8, February!$D$3:$D$12)</f>
        <v>0</v>
      </c>
      <c r="F8" s="104">
        <f>SUMIF(March!$C$3:$C$12, $A8, March!$D$3:$D$12)</f>
        <v>0</v>
      </c>
      <c r="G8" s="74">
        <f>SUMIF(April!$C$3:$C$12, $A8, April!$D$3:$D$12)</f>
        <v>0</v>
      </c>
      <c r="H8" s="104">
        <f>SUMIF(May!$C$3:$C$12, $A8, May!$D$3:$D$12)</f>
        <v>0</v>
      </c>
      <c r="I8" s="74">
        <f>SUMIF(June!$C$3:$C$12, $A8, June!$D$3:$D$12)</f>
        <v>0</v>
      </c>
      <c r="J8" s="104">
        <f>SUMIF(July!$C$3:$C$12, $A8, July!$D$3:$D$12)</f>
        <v>0</v>
      </c>
      <c r="K8" s="74">
        <f>SUMIF(August!$C$3:$C$12, $A8, August!$D$3:$D$12)</f>
        <v>0</v>
      </c>
      <c r="L8" s="104">
        <f>SUMIF(September!$C$3:$C$12, $A8, September!$D$3:$D$12)</f>
        <v>0</v>
      </c>
      <c r="M8" s="74">
        <f>SUMIF(October!$C$3:$C$12, $A8, October!$D$3:$D$12)</f>
        <v>0</v>
      </c>
      <c r="N8" s="104">
        <f>SUMIF(November!$C$3:$C$12, $A8, November!$D$3:$D$12)</f>
        <v>0</v>
      </c>
      <c r="O8" s="116">
        <f>SUMIF(December!$C$3:$C$12, $A8, December!$D$3:$D$12)</f>
        <v>0</v>
      </c>
    </row>
    <row r="9" spans="1:15" x14ac:dyDescent="0.25">
      <c r="A9" s="113"/>
      <c r="B9" s="108">
        <f t="shared" si="0"/>
        <v>0</v>
      </c>
      <c r="C9" s="127">
        <f t="shared" si="1"/>
        <v>0</v>
      </c>
      <c r="D9" s="104">
        <f>SUMIF(January!$C$3:$C$12, $A9, January!$D$3:$D$12)</f>
        <v>0</v>
      </c>
      <c r="E9" s="74">
        <f>SUMIF(February!$C$3:$C$12, $A9, February!$D$3:$D$12)</f>
        <v>0</v>
      </c>
      <c r="F9" s="104">
        <f>SUMIF(March!$C$3:$C$12, $A9, March!$D$3:$D$12)</f>
        <v>0</v>
      </c>
      <c r="G9" s="74">
        <f>SUMIF(April!$C$3:$C$12, $A9, April!$D$3:$D$12)</f>
        <v>0</v>
      </c>
      <c r="H9" s="104">
        <f>SUMIF(May!$C$3:$C$12, $A9, May!$D$3:$D$12)</f>
        <v>0</v>
      </c>
      <c r="I9" s="74">
        <f>SUMIF(June!$C$3:$C$12, $A9, June!$D$3:$D$12)</f>
        <v>0</v>
      </c>
      <c r="J9" s="104">
        <f>SUMIF(July!$C$3:$C$12, $A9, July!$D$3:$D$12)</f>
        <v>0</v>
      </c>
      <c r="K9" s="74">
        <f>SUMIF(August!$C$3:$C$12, $A9, August!$D$3:$D$12)</f>
        <v>0</v>
      </c>
      <c r="L9" s="104">
        <f>SUMIF(September!$C$3:$C$12, $A9, September!$D$3:$D$12)</f>
        <v>0</v>
      </c>
      <c r="M9" s="74">
        <f>SUMIF(October!$C$3:$C$12, $A9, October!$D$3:$D$12)</f>
        <v>0</v>
      </c>
      <c r="N9" s="104">
        <f>SUMIF(November!$C$3:$C$12, $A9, November!$D$3:$D$12)</f>
        <v>0</v>
      </c>
      <c r="O9" s="116">
        <f>SUMIF(December!$C$3:$C$12, $A9, December!$D$3:$D$12)</f>
        <v>0</v>
      </c>
    </row>
    <row r="10" spans="1:15" x14ac:dyDescent="0.25">
      <c r="A10" s="113"/>
      <c r="B10" s="108">
        <f t="shared" si="0"/>
        <v>0</v>
      </c>
      <c r="C10" s="127">
        <f t="shared" si="1"/>
        <v>0</v>
      </c>
      <c r="D10" s="104">
        <f>SUMIF(January!$C$3:$C$12, $A10, January!$D$3:$D$12)</f>
        <v>0</v>
      </c>
      <c r="E10" s="74">
        <f>SUMIF(February!$C$3:$C$12, $A10, February!$D$3:$D$12)</f>
        <v>0</v>
      </c>
      <c r="F10" s="104">
        <f>SUMIF(March!$C$3:$C$12, $A10, March!$D$3:$D$12)</f>
        <v>0</v>
      </c>
      <c r="G10" s="74">
        <f>SUMIF(April!$C$3:$C$12, $A10, April!$D$3:$D$12)</f>
        <v>0</v>
      </c>
      <c r="H10" s="104">
        <f>SUMIF(May!$C$3:$C$12, $A10, May!$D$3:$D$12)</f>
        <v>0</v>
      </c>
      <c r="I10" s="74">
        <f>SUMIF(June!$C$3:$C$12, $A10, June!$D$3:$D$12)</f>
        <v>0</v>
      </c>
      <c r="J10" s="104">
        <f>SUMIF(July!$C$3:$C$12, $A10, July!$D$3:$D$12)</f>
        <v>0</v>
      </c>
      <c r="K10" s="74">
        <f>SUMIF(August!$C$3:$C$12, $A10, August!$D$3:$D$12)</f>
        <v>0</v>
      </c>
      <c r="L10" s="104">
        <f>SUMIF(September!$C$3:$C$12, $A10, September!$D$3:$D$12)</f>
        <v>0</v>
      </c>
      <c r="M10" s="74">
        <f>SUMIF(October!$C$3:$C$12, $A10, October!$D$3:$D$12)</f>
        <v>0</v>
      </c>
      <c r="N10" s="104">
        <f>SUMIF(November!$C$3:$C$12, $A10, November!$D$3:$D$12)</f>
        <v>0</v>
      </c>
      <c r="O10" s="116">
        <f>SUMIF(December!$C$3:$C$12, $A10, December!$D$3:$D$12)</f>
        <v>0</v>
      </c>
    </row>
    <row r="11" spans="1:15" x14ac:dyDescent="0.25">
      <c r="A11" s="113"/>
      <c r="B11" s="108">
        <f t="shared" si="0"/>
        <v>0</v>
      </c>
      <c r="C11" s="127">
        <f t="shared" si="1"/>
        <v>0</v>
      </c>
      <c r="D11" s="104">
        <f>SUMIF(January!$C$3:$C$12, $A11, January!$D$3:$D$12)</f>
        <v>0</v>
      </c>
      <c r="E11" s="74">
        <f>SUMIF(February!$C$3:$C$12, $A11, February!$D$3:$D$12)</f>
        <v>0</v>
      </c>
      <c r="F11" s="104">
        <f>SUMIF(March!$C$3:$C$12, $A11, March!$D$3:$D$12)</f>
        <v>0</v>
      </c>
      <c r="G11" s="74">
        <f>SUMIF(April!$C$3:$C$12, $A11, April!$D$3:$D$12)</f>
        <v>0</v>
      </c>
      <c r="H11" s="104">
        <f>SUMIF(May!$C$3:$C$12, $A11, May!$D$3:$D$12)</f>
        <v>0</v>
      </c>
      <c r="I11" s="74">
        <f>SUMIF(June!$C$3:$C$12, $A11, June!$D$3:$D$12)</f>
        <v>0</v>
      </c>
      <c r="J11" s="104">
        <f>SUMIF(July!$C$3:$C$12, $A11, July!$D$3:$D$12)</f>
        <v>0</v>
      </c>
      <c r="K11" s="74">
        <f>SUMIF(August!$C$3:$C$12, $A11, August!$D$3:$D$12)</f>
        <v>0</v>
      </c>
      <c r="L11" s="104">
        <f>SUMIF(September!$C$3:$C$12, $A11, September!$D$3:$D$12)</f>
        <v>0</v>
      </c>
      <c r="M11" s="74">
        <f>SUMIF(October!$C$3:$C$12, $A11, October!$D$3:$D$12)</f>
        <v>0</v>
      </c>
      <c r="N11" s="104">
        <f>SUMIF(November!$C$3:$C$12, $A11, November!$D$3:$D$12)</f>
        <v>0</v>
      </c>
      <c r="O11" s="116">
        <f>SUMIF(December!$C$3:$C$12, $A11, December!$D$3:$D$12)</f>
        <v>0</v>
      </c>
    </row>
    <row r="12" spans="1:15" ht="15.75" thickBot="1" x14ac:dyDescent="0.3">
      <c r="A12" s="113"/>
      <c r="B12" s="108">
        <f t="shared" si="0"/>
        <v>0</v>
      </c>
      <c r="C12" s="127">
        <f t="shared" si="1"/>
        <v>0</v>
      </c>
      <c r="D12" s="104">
        <f>SUMIF(January!$C$3:$C$12, $A12, January!$D$3:$D$12)</f>
        <v>0</v>
      </c>
      <c r="E12" s="74">
        <f>SUMIF(February!$C$3:$C$12, $A12, February!$D$3:$D$12)</f>
        <v>0</v>
      </c>
      <c r="F12" s="104">
        <f>SUMIF(March!$C$3:$C$12, $A12, March!$D$3:$D$12)</f>
        <v>0</v>
      </c>
      <c r="G12" s="74">
        <f>SUMIF(April!$C$3:$C$12, $A12, April!$D$3:$D$12)</f>
        <v>0</v>
      </c>
      <c r="H12" s="104">
        <f>SUMIF(May!$C$3:$C$12, $A12, May!$D$3:$D$12)</f>
        <v>0</v>
      </c>
      <c r="I12" s="74">
        <f>SUMIF(June!$C$3:$C$12, $A12, June!$D$3:$D$12)</f>
        <v>0</v>
      </c>
      <c r="J12" s="104">
        <f>SUMIF(July!$C$3:$C$12, $A12, July!$D$3:$D$12)</f>
        <v>0</v>
      </c>
      <c r="K12" s="74">
        <f>SUMIF(August!$C$3:$C$12, $A12, August!$D$3:$D$12)</f>
        <v>0</v>
      </c>
      <c r="L12" s="104">
        <f>SUMIF(September!$C$3:$C$12, $A12, September!$D$3:$D$12)</f>
        <v>0</v>
      </c>
      <c r="M12" s="74">
        <f>SUMIF(October!$C$3:$C$12, $A12, October!$D$3:$D$12)</f>
        <v>0</v>
      </c>
      <c r="N12" s="104">
        <f>SUMIF(November!$C$3:$C$12, $A12, November!$D$3:$D$12)</f>
        <v>0</v>
      </c>
      <c r="O12" s="116">
        <f>SUMIF(December!$C$3:$C$12, $A12, December!$D$3:$D$12)</f>
        <v>0</v>
      </c>
    </row>
    <row r="13" spans="1:15" s="1" customFormat="1" ht="15.75" customHeight="1" x14ac:dyDescent="0.25">
      <c r="A13" s="145" t="s">
        <v>13</v>
      </c>
      <c r="B13" s="149">
        <f t="shared" si="0"/>
        <v>0</v>
      </c>
      <c r="C13" s="150"/>
      <c r="D13" s="125">
        <f t="shared" ref="D13:O13" si="2">SUM(D$3:D$12)</f>
        <v>0</v>
      </c>
      <c r="E13" s="122">
        <f t="shared" si="2"/>
        <v>0</v>
      </c>
      <c r="F13" s="106">
        <f t="shared" si="2"/>
        <v>0</v>
      </c>
      <c r="G13" s="122">
        <f t="shared" si="2"/>
        <v>0</v>
      </c>
      <c r="H13" s="106">
        <f t="shared" si="2"/>
        <v>0</v>
      </c>
      <c r="I13" s="122">
        <f t="shared" si="2"/>
        <v>0</v>
      </c>
      <c r="J13" s="106">
        <f t="shared" si="2"/>
        <v>0</v>
      </c>
      <c r="K13" s="122">
        <f t="shared" si="2"/>
        <v>0</v>
      </c>
      <c r="L13" s="106">
        <f t="shared" si="2"/>
        <v>0</v>
      </c>
      <c r="M13" s="122">
        <f t="shared" si="2"/>
        <v>0</v>
      </c>
      <c r="N13" s="106">
        <f t="shared" si="2"/>
        <v>0</v>
      </c>
      <c r="O13" s="123">
        <f t="shared" si="2"/>
        <v>0</v>
      </c>
    </row>
    <row r="14" spans="1:15" ht="15.75" thickBot="1" x14ac:dyDescent="0.3">
      <c r="A14" s="146"/>
      <c r="B14" s="151"/>
      <c r="C14" s="152"/>
      <c r="D14" s="120">
        <f>IF($B$13, D$13/$B$13, 0)</f>
        <v>0</v>
      </c>
      <c r="E14" s="118">
        <f t="shared" ref="E14:O14" si="3">IF($B$13, E$13/$B$13, 0)</f>
        <v>0</v>
      </c>
      <c r="F14" s="119">
        <f t="shared" si="3"/>
        <v>0</v>
      </c>
      <c r="G14" s="118">
        <f t="shared" si="3"/>
        <v>0</v>
      </c>
      <c r="H14" s="119">
        <f t="shared" si="3"/>
        <v>0</v>
      </c>
      <c r="I14" s="118">
        <f t="shared" si="3"/>
        <v>0</v>
      </c>
      <c r="J14" s="119">
        <f t="shared" si="3"/>
        <v>0</v>
      </c>
      <c r="K14" s="118">
        <f t="shared" si="3"/>
        <v>0</v>
      </c>
      <c r="L14" s="119">
        <f t="shared" si="3"/>
        <v>0</v>
      </c>
      <c r="M14" s="118">
        <f t="shared" si="3"/>
        <v>0</v>
      </c>
      <c r="N14" s="119">
        <f t="shared" si="3"/>
        <v>0</v>
      </c>
      <c r="O14" s="117">
        <f t="shared" si="3"/>
        <v>0</v>
      </c>
    </row>
    <row r="15" spans="1:15" ht="15.75" thickBot="1" x14ac:dyDescent="0.3">
      <c r="C15" s="1"/>
      <c r="G15" s="73"/>
    </row>
    <row r="16" spans="1:15" ht="16.5" thickBot="1" x14ac:dyDescent="0.3">
      <c r="A16" s="9" t="s">
        <v>14</v>
      </c>
      <c r="B16" s="148" t="s">
        <v>30</v>
      </c>
      <c r="C16" s="148"/>
      <c r="D16" s="101" t="str">
        <f t="shared" ref="D16:O16" si="4">D2</f>
        <v>January</v>
      </c>
      <c r="E16" s="101" t="str">
        <f t="shared" si="4"/>
        <v>February</v>
      </c>
      <c r="F16" s="101" t="str">
        <f t="shared" si="4"/>
        <v>March</v>
      </c>
      <c r="G16" s="101" t="str">
        <f t="shared" si="4"/>
        <v>April</v>
      </c>
      <c r="H16" s="101" t="str">
        <f t="shared" si="4"/>
        <v>May</v>
      </c>
      <c r="I16" s="101" t="str">
        <f t="shared" si="4"/>
        <v>June</v>
      </c>
      <c r="J16" s="101" t="str">
        <f t="shared" si="4"/>
        <v>July</v>
      </c>
      <c r="K16" s="101" t="str">
        <f t="shared" si="4"/>
        <v>August</v>
      </c>
      <c r="L16" s="101" t="str">
        <f t="shared" si="4"/>
        <v>September</v>
      </c>
      <c r="M16" s="101" t="str">
        <f t="shared" si="4"/>
        <v>October</v>
      </c>
      <c r="N16" s="101" t="str">
        <f t="shared" si="4"/>
        <v>November</v>
      </c>
      <c r="O16" s="76" t="str">
        <f t="shared" si="4"/>
        <v>December</v>
      </c>
    </row>
    <row r="17" spans="1:15" x14ac:dyDescent="0.25">
      <c r="A17" s="10"/>
      <c r="B17" s="114">
        <f t="shared" ref="B17:B27" si="5">SUM($D17:$O17)</f>
        <v>0</v>
      </c>
      <c r="C17" s="126">
        <f t="shared" ref="C17:C26" si="6">IF($B$27, $B17/$B$27, 0)</f>
        <v>0</v>
      </c>
      <c r="D17" s="111">
        <f>SUMIF(January!$G$3:$G$12, $A17, January!$I$3:$I$12)</f>
        <v>0</v>
      </c>
      <c r="E17" s="75">
        <f>SUMIF(February!$G$3:$G$12, $A17, February!$I$3:$I$12)</f>
        <v>0</v>
      </c>
      <c r="F17" s="110">
        <f>SUMIF(March!$G$3:$G$12, $A17, March!$I$3:$I$12)</f>
        <v>0</v>
      </c>
      <c r="G17" s="75">
        <f>SUMIF(April!$G$3:$G$12, $A17, April!$I$3:$I$12)</f>
        <v>0</v>
      </c>
      <c r="H17" s="110">
        <f>SUMIF(May!$G$3:$G$12, $A17, May!$I$3:$I$12)</f>
        <v>0</v>
      </c>
      <c r="I17" s="75">
        <f>SUMIF(June!$G$3:$G$12, $A17, June!$I$3:$I$12)</f>
        <v>0</v>
      </c>
      <c r="J17" s="110">
        <f>SUMIF(July!$G$3:$G$12, $A17, July!$I$3:$I$12)</f>
        <v>0</v>
      </c>
      <c r="K17" s="75">
        <f>SUMIF(August!$G$3:$G$12, $A17, August!$I$3:$I$12)</f>
        <v>0</v>
      </c>
      <c r="L17" s="110">
        <f>SUMIF(September!$G$3:$G$12, $A17, September!$I$3:$I$12)</f>
        <v>0</v>
      </c>
      <c r="M17" s="75">
        <f>SUMIF(October!$G$3:$G$12, $A17, October!$I$3:$I$12)</f>
        <v>0</v>
      </c>
      <c r="N17" s="110">
        <f>SUMIF(November!$G$3:$G$12, $A17, November!$I$3:$I$12)</f>
        <v>0</v>
      </c>
      <c r="O17" s="115">
        <f>SUMIF(December!$G$3:$G$12, $A17, December!$I$3:$I$12)</f>
        <v>0</v>
      </c>
    </row>
    <row r="18" spans="1:15" x14ac:dyDescent="0.25">
      <c r="A18" s="10"/>
      <c r="B18" s="108">
        <f t="shared" si="5"/>
        <v>0</v>
      </c>
      <c r="C18" s="127">
        <f t="shared" si="6"/>
        <v>0</v>
      </c>
      <c r="D18" s="104">
        <f>SUMIF(January!$G$3:$G$12, $A18, January!$I$3:$I$12)</f>
        <v>0</v>
      </c>
      <c r="E18" s="74">
        <f>SUMIF(February!$G$3:$G$12, $A18, February!$I$3:$I$12)</f>
        <v>0</v>
      </c>
      <c r="F18" s="105">
        <f>SUMIF(March!$G$3:$G$12, $A18, March!$I$3:$I$12)</f>
        <v>0</v>
      </c>
      <c r="G18" s="74">
        <f>SUMIF(April!$G$3:$G$12, $A18, April!$I$3:$I$12)</f>
        <v>0</v>
      </c>
      <c r="H18" s="105">
        <f>SUMIF(May!$G$3:$G$12, $A18, May!$I$3:$I$12)</f>
        <v>0</v>
      </c>
      <c r="I18" s="74">
        <f>SUMIF(June!$G$3:$G$12, $A18, June!$I$3:$I$12)</f>
        <v>0</v>
      </c>
      <c r="J18" s="105">
        <f>SUMIF(July!$G$3:$G$12, $A18, July!$I$3:$I$12)</f>
        <v>0</v>
      </c>
      <c r="K18" s="74">
        <f>SUMIF(August!$G$3:$G$12, $A18, August!$I$3:$I$12)</f>
        <v>0</v>
      </c>
      <c r="L18" s="105">
        <f>SUMIF(September!$G$3:$G$12, $A18, September!$I$3:$I$12)</f>
        <v>0</v>
      </c>
      <c r="M18" s="74">
        <f>SUMIF(October!$G$3:$G$12, $A18, October!$I$3:$I$12)</f>
        <v>0</v>
      </c>
      <c r="N18" s="105">
        <f>SUMIF(November!$G$3:$G$12, $A18, November!$I$3:$I$12)</f>
        <v>0</v>
      </c>
      <c r="O18" s="116">
        <f>SUMIF(December!$G$3:$G$12, $A18, December!$I$3:$I$12)</f>
        <v>0</v>
      </c>
    </row>
    <row r="19" spans="1:15" x14ac:dyDescent="0.25">
      <c r="A19" s="10"/>
      <c r="B19" s="108">
        <f t="shared" si="5"/>
        <v>0</v>
      </c>
      <c r="C19" s="127">
        <f t="shared" si="6"/>
        <v>0</v>
      </c>
      <c r="D19" s="104">
        <f>SUMIF(January!$G$3:$G$12, $A19, January!$I$3:$I$12)</f>
        <v>0</v>
      </c>
      <c r="E19" s="74">
        <f>SUMIF(February!$G$3:$G$12, $A19, February!$I$3:$I$12)</f>
        <v>0</v>
      </c>
      <c r="F19" s="105">
        <f>SUMIF(March!$G$3:$G$12, $A19, March!$I$3:$I$12)</f>
        <v>0</v>
      </c>
      <c r="G19" s="74">
        <f>SUMIF(April!$G$3:$G$12, $A19, April!$I$3:$I$12)</f>
        <v>0</v>
      </c>
      <c r="H19" s="105">
        <f>SUMIF(May!$G$3:$G$12, $A19, May!$I$3:$I$12)</f>
        <v>0</v>
      </c>
      <c r="I19" s="74">
        <f>SUMIF(June!$G$3:$G$12, $A19, June!$I$3:$I$12)</f>
        <v>0</v>
      </c>
      <c r="J19" s="105">
        <f>SUMIF(July!$G$3:$G$12, $A19, July!$I$3:$I$12)</f>
        <v>0</v>
      </c>
      <c r="K19" s="74">
        <f>SUMIF(August!$G$3:$G$12, $A19, August!$I$3:$I$12)</f>
        <v>0</v>
      </c>
      <c r="L19" s="105">
        <f>SUMIF(September!$G$3:$G$12, $A19, September!$I$3:$I$12)</f>
        <v>0</v>
      </c>
      <c r="M19" s="74">
        <f>SUMIF(October!$G$3:$G$12, $A19, October!$I$3:$I$12)</f>
        <v>0</v>
      </c>
      <c r="N19" s="105">
        <f>SUMIF(November!$G$3:$G$12, $A19, November!$I$3:$I$12)</f>
        <v>0</v>
      </c>
      <c r="O19" s="116">
        <f>SUMIF(December!$G$3:$G$12, $A19, December!$I$3:$I$12)</f>
        <v>0</v>
      </c>
    </row>
    <row r="20" spans="1:15" x14ac:dyDescent="0.25">
      <c r="A20" s="10"/>
      <c r="B20" s="108">
        <f t="shared" si="5"/>
        <v>0</v>
      </c>
      <c r="C20" s="127">
        <f t="shared" si="6"/>
        <v>0</v>
      </c>
      <c r="D20" s="104">
        <f>SUMIF(January!$G$3:$G$12, $A20, January!$I$3:$I$12)</f>
        <v>0</v>
      </c>
      <c r="E20" s="74">
        <f>SUMIF(February!$G$3:$G$12, $A20, February!$I$3:$I$12)</f>
        <v>0</v>
      </c>
      <c r="F20" s="105">
        <f>SUMIF(March!$G$3:$G$12, $A20, March!$I$3:$I$12)</f>
        <v>0</v>
      </c>
      <c r="G20" s="74">
        <f>SUMIF(April!$G$3:$G$12, $A20, April!$I$3:$I$12)</f>
        <v>0</v>
      </c>
      <c r="H20" s="105">
        <f>SUMIF(May!$G$3:$G$12, $A20, May!$I$3:$I$12)</f>
        <v>0</v>
      </c>
      <c r="I20" s="74">
        <f>SUMIF(June!$G$3:$G$12, $A20, June!$I$3:$I$12)</f>
        <v>0</v>
      </c>
      <c r="J20" s="105">
        <f>SUMIF(July!$G$3:$G$12, $A20, July!$I$3:$I$12)</f>
        <v>0</v>
      </c>
      <c r="K20" s="74">
        <f>SUMIF(August!$G$3:$G$12, $A20, August!$I$3:$I$12)</f>
        <v>0</v>
      </c>
      <c r="L20" s="105">
        <f>SUMIF(September!$G$3:$G$12, $A20, September!$I$3:$I$12)</f>
        <v>0</v>
      </c>
      <c r="M20" s="74">
        <f>SUMIF(October!$G$3:$G$12, $A20, October!$I$3:$I$12)</f>
        <v>0</v>
      </c>
      <c r="N20" s="105">
        <f>SUMIF(November!$G$3:$G$12, $A20, November!$I$3:$I$12)</f>
        <v>0</v>
      </c>
      <c r="O20" s="116">
        <f>SUMIF(December!$G$3:$G$12, $A20, December!$I$3:$I$12)</f>
        <v>0</v>
      </c>
    </row>
    <row r="21" spans="1:15" x14ac:dyDescent="0.25">
      <c r="A21" s="10"/>
      <c r="B21" s="108">
        <f t="shared" si="5"/>
        <v>0</v>
      </c>
      <c r="C21" s="127">
        <f t="shared" si="6"/>
        <v>0</v>
      </c>
      <c r="D21" s="104">
        <f>SUMIF(January!$G$3:$G$12, $A21, January!$I$3:$I$12)</f>
        <v>0</v>
      </c>
      <c r="E21" s="74">
        <f>SUMIF(February!$G$3:$G$12, $A21, February!$I$3:$I$12)</f>
        <v>0</v>
      </c>
      <c r="F21" s="105">
        <f>SUMIF(March!$G$3:$G$12, $A21, March!$I$3:$I$12)</f>
        <v>0</v>
      </c>
      <c r="G21" s="74">
        <f>SUMIF(April!$G$3:$G$12, $A21, April!$I$3:$I$12)</f>
        <v>0</v>
      </c>
      <c r="H21" s="105">
        <f>SUMIF(May!$G$3:$G$12, $A21, May!$I$3:$I$12)</f>
        <v>0</v>
      </c>
      <c r="I21" s="74">
        <f>SUMIF(June!$G$3:$G$12, $A21, June!$I$3:$I$12)</f>
        <v>0</v>
      </c>
      <c r="J21" s="105">
        <f>SUMIF(July!$G$3:$G$12, $A21, July!$I$3:$I$12)</f>
        <v>0</v>
      </c>
      <c r="K21" s="74">
        <f>SUMIF(August!$G$3:$G$12, $A21, August!$I$3:$I$12)</f>
        <v>0</v>
      </c>
      <c r="L21" s="105">
        <f>SUMIF(September!$G$3:$G$12, $A21, September!$I$3:$I$12)</f>
        <v>0</v>
      </c>
      <c r="M21" s="74">
        <f>SUMIF(October!$G$3:$G$12, $A21, October!$I$3:$I$12)</f>
        <v>0</v>
      </c>
      <c r="N21" s="105">
        <f>SUMIF(November!$G$3:$G$12, $A21, November!$I$3:$I$12)</f>
        <v>0</v>
      </c>
      <c r="O21" s="116">
        <f>SUMIF(December!$G$3:$G$12, $A21, December!$I$3:$I$12)</f>
        <v>0</v>
      </c>
    </row>
    <row r="22" spans="1:15" x14ac:dyDescent="0.25">
      <c r="A22" s="10"/>
      <c r="B22" s="108">
        <f t="shared" si="5"/>
        <v>0</v>
      </c>
      <c r="C22" s="127">
        <f t="shared" si="6"/>
        <v>0</v>
      </c>
      <c r="D22" s="104">
        <f>SUMIF(January!$G$3:$G$12, $A22, January!$I$3:$I$12)</f>
        <v>0</v>
      </c>
      <c r="E22" s="74">
        <f>SUMIF(February!$G$3:$G$12, $A22, February!$I$3:$I$12)</f>
        <v>0</v>
      </c>
      <c r="F22" s="105">
        <f>SUMIF(March!$G$3:$G$12, $A22, March!$I$3:$I$12)</f>
        <v>0</v>
      </c>
      <c r="G22" s="74">
        <f>SUMIF(April!$G$3:$G$12, $A22, April!$I$3:$I$12)</f>
        <v>0</v>
      </c>
      <c r="H22" s="105">
        <f>SUMIF(May!$G$3:$G$12, $A22, May!$I$3:$I$12)</f>
        <v>0</v>
      </c>
      <c r="I22" s="74">
        <f>SUMIF(June!$G$3:$G$12, $A22, June!$I$3:$I$12)</f>
        <v>0</v>
      </c>
      <c r="J22" s="105">
        <f>SUMIF(July!$G$3:$G$12, $A22, July!$I$3:$I$12)</f>
        <v>0</v>
      </c>
      <c r="K22" s="74">
        <f>SUMIF(August!$G$3:$G$12, $A22, August!$I$3:$I$12)</f>
        <v>0</v>
      </c>
      <c r="L22" s="105">
        <f>SUMIF(September!$G$3:$G$12, $A22, September!$I$3:$I$12)</f>
        <v>0</v>
      </c>
      <c r="M22" s="74">
        <f>SUMIF(October!$G$3:$G$12, $A22, October!$I$3:$I$12)</f>
        <v>0</v>
      </c>
      <c r="N22" s="105">
        <f>SUMIF(November!$G$3:$G$12, $A22, November!$I$3:$I$12)</f>
        <v>0</v>
      </c>
      <c r="O22" s="116">
        <f>SUMIF(December!$G$3:$G$12, $A22, December!$I$3:$I$12)</f>
        <v>0</v>
      </c>
    </row>
    <row r="23" spans="1:15" x14ac:dyDescent="0.25">
      <c r="A23" s="10"/>
      <c r="B23" s="108">
        <f t="shared" si="5"/>
        <v>0</v>
      </c>
      <c r="C23" s="127">
        <f t="shared" si="6"/>
        <v>0</v>
      </c>
      <c r="D23" s="104">
        <f>SUMIF(January!$G$3:$G$12, $A23, January!$I$3:$I$12)</f>
        <v>0</v>
      </c>
      <c r="E23" s="74">
        <f>SUMIF(February!$G$3:$G$12, $A23, February!$I$3:$I$12)</f>
        <v>0</v>
      </c>
      <c r="F23" s="105">
        <f>SUMIF(March!$G$3:$G$12, $A23, March!$I$3:$I$12)</f>
        <v>0</v>
      </c>
      <c r="G23" s="74">
        <f>SUMIF(April!$G$3:$G$12, $A23, April!$I$3:$I$12)</f>
        <v>0</v>
      </c>
      <c r="H23" s="105">
        <f>SUMIF(May!$G$3:$G$12, $A23, May!$I$3:$I$12)</f>
        <v>0</v>
      </c>
      <c r="I23" s="74">
        <f>SUMIF(June!$G$3:$G$12, $A23, June!$I$3:$I$12)</f>
        <v>0</v>
      </c>
      <c r="J23" s="105">
        <f>SUMIF(July!$G$3:$G$12, $A23, July!$I$3:$I$12)</f>
        <v>0</v>
      </c>
      <c r="K23" s="74">
        <f>SUMIF(August!$G$3:$G$12, $A23, August!$I$3:$I$12)</f>
        <v>0</v>
      </c>
      <c r="L23" s="105">
        <f>SUMIF(September!$G$3:$G$12, $A23, September!$I$3:$I$12)</f>
        <v>0</v>
      </c>
      <c r="M23" s="74">
        <f>SUMIF(October!$G$3:$G$12, $A23, October!$I$3:$I$12)</f>
        <v>0</v>
      </c>
      <c r="N23" s="105">
        <f>SUMIF(November!$G$3:$G$12, $A23, November!$I$3:$I$12)</f>
        <v>0</v>
      </c>
      <c r="O23" s="116">
        <f>SUMIF(December!$G$3:$G$12, $A23, December!$I$3:$I$12)</f>
        <v>0</v>
      </c>
    </row>
    <row r="24" spans="1:15" x14ac:dyDescent="0.25">
      <c r="A24" s="10"/>
      <c r="B24" s="108">
        <f t="shared" si="5"/>
        <v>0</v>
      </c>
      <c r="C24" s="127">
        <f t="shared" si="6"/>
        <v>0</v>
      </c>
      <c r="D24" s="104">
        <f>SUMIF(January!$G$3:$G$12, $A24, January!$I$3:$I$12)</f>
        <v>0</v>
      </c>
      <c r="E24" s="74">
        <f>SUMIF(February!$G$3:$G$12, $A24, February!$I$3:$I$12)</f>
        <v>0</v>
      </c>
      <c r="F24" s="105">
        <f>SUMIF(March!$G$3:$G$12, $A24, March!$I$3:$I$12)</f>
        <v>0</v>
      </c>
      <c r="G24" s="74">
        <f>SUMIF(April!$G$3:$G$12, $A24, April!$I$3:$I$12)</f>
        <v>0</v>
      </c>
      <c r="H24" s="105">
        <f>SUMIF(May!$G$3:$G$12, $A24, May!$I$3:$I$12)</f>
        <v>0</v>
      </c>
      <c r="I24" s="74">
        <f>SUMIF(June!$G$3:$G$12, $A24, June!$I$3:$I$12)</f>
        <v>0</v>
      </c>
      <c r="J24" s="105">
        <f>SUMIF(July!$G$3:$G$12, $A24, July!$I$3:$I$12)</f>
        <v>0</v>
      </c>
      <c r="K24" s="74">
        <f>SUMIF(August!$G$3:$G$12, $A24, August!$I$3:$I$12)</f>
        <v>0</v>
      </c>
      <c r="L24" s="105">
        <f>SUMIF(September!$G$3:$G$12, $A24, September!$I$3:$I$12)</f>
        <v>0</v>
      </c>
      <c r="M24" s="74">
        <f>SUMIF(October!$G$3:$G$12, $A24, October!$I$3:$I$12)</f>
        <v>0</v>
      </c>
      <c r="N24" s="105">
        <f>SUMIF(November!$G$3:$G$12, $A24, November!$I$3:$I$12)</f>
        <v>0</v>
      </c>
      <c r="O24" s="116">
        <f>SUMIF(December!$G$3:$G$12, $A24, December!$I$3:$I$12)</f>
        <v>0</v>
      </c>
    </row>
    <row r="25" spans="1:15" x14ac:dyDescent="0.25">
      <c r="A25" s="10"/>
      <c r="B25" s="108">
        <f t="shared" si="5"/>
        <v>0</v>
      </c>
      <c r="C25" s="127">
        <f t="shared" si="6"/>
        <v>0</v>
      </c>
      <c r="D25" s="104">
        <f>SUMIF(January!$G$3:$G$12, $A25, January!$I$3:$I$12)</f>
        <v>0</v>
      </c>
      <c r="E25" s="74">
        <f>SUMIF(February!$G$3:$G$12, $A25, February!$I$3:$I$12)</f>
        <v>0</v>
      </c>
      <c r="F25" s="105">
        <f>SUMIF(March!$G$3:$G$12, $A25, March!$I$3:$I$12)</f>
        <v>0</v>
      </c>
      <c r="G25" s="74">
        <f>SUMIF(April!$G$3:$G$12, $A25, April!$I$3:$I$12)</f>
        <v>0</v>
      </c>
      <c r="H25" s="105">
        <f>SUMIF(May!$G$3:$G$12, $A25, May!$I$3:$I$12)</f>
        <v>0</v>
      </c>
      <c r="I25" s="74">
        <f>SUMIF(June!$G$3:$G$12, $A25, June!$I$3:$I$12)</f>
        <v>0</v>
      </c>
      <c r="J25" s="105">
        <f>SUMIF(July!$G$3:$G$12, $A25, July!$I$3:$I$12)</f>
        <v>0</v>
      </c>
      <c r="K25" s="74">
        <f>SUMIF(August!$G$3:$G$12, $A25, August!$I$3:$I$12)</f>
        <v>0</v>
      </c>
      <c r="L25" s="105">
        <f>SUMIF(September!$G$3:$G$12, $A25, September!$I$3:$I$12)</f>
        <v>0</v>
      </c>
      <c r="M25" s="74">
        <f>SUMIF(October!$G$3:$G$12, $A25, October!$I$3:$I$12)</f>
        <v>0</v>
      </c>
      <c r="N25" s="105">
        <f>SUMIF(November!$G$3:$G$12, $A25, November!$I$3:$I$12)</f>
        <v>0</v>
      </c>
      <c r="O25" s="116">
        <f>SUMIF(December!$G$3:$G$12, $A25, December!$I$3:$I$12)</f>
        <v>0</v>
      </c>
    </row>
    <row r="26" spans="1:15" ht="15.75" thickBot="1" x14ac:dyDescent="0.3">
      <c r="A26" s="10"/>
      <c r="B26" s="108">
        <f t="shared" si="5"/>
        <v>0</v>
      </c>
      <c r="C26" s="127">
        <f t="shared" si="6"/>
        <v>0</v>
      </c>
      <c r="D26" s="104">
        <f>SUMIF(January!$G$3:$G$12, $A26, January!$I$3:$I$12)</f>
        <v>0</v>
      </c>
      <c r="E26" s="74">
        <f>SUMIF(February!$G$3:$G$12, $A26, February!$I$3:$I$12)</f>
        <v>0</v>
      </c>
      <c r="F26" s="105">
        <f>SUMIF(March!$G$3:$G$12, $A26, March!$I$3:$I$12)</f>
        <v>0</v>
      </c>
      <c r="G26" s="74">
        <f>SUMIF(April!$G$3:$G$12, $A26, April!$I$3:$I$12)</f>
        <v>0</v>
      </c>
      <c r="H26" s="105">
        <f>SUMIF(May!$G$3:$G$12, $A26, May!$I$3:$I$12)</f>
        <v>0</v>
      </c>
      <c r="I26" s="74">
        <f>SUMIF(June!$G$3:$G$12, $A26, June!$I$3:$I$12)</f>
        <v>0</v>
      </c>
      <c r="J26" s="105">
        <f>SUMIF(July!$G$3:$G$12, $A26, July!$I$3:$I$12)</f>
        <v>0</v>
      </c>
      <c r="K26" s="74">
        <f>SUMIF(August!$G$3:$G$12, $A26, August!$I$3:$I$12)</f>
        <v>0</v>
      </c>
      <c r="L26" s="105">
        <f>SUMIF(September!$G$3:$G$12, $A26, September!$I$3:$I$12)</f>
        <v>0</v>
      </c>
      <c r="M26" s="74">
        <f>SUMIF(October!$G$3:$G$12, $A26, October!$I$3:$I$12)</f>
        <v>0</v>
      </c>
      <c r="N26" s="105">
        <f>SUMIF(November!$G$3:$G$12, $A26, November!$I$3:$I$12)</f>
        <v>0</v>
      </c>
      <c r="O26" s="116">
        <f>SUMIF(December!$G$3:$G$12, $A26, December!$I$3:$I$12)</f>
        <v>0</v>
      </c>
    </row>
    <row r="27" spans="1:15" s="1" customFormat="1" ht="15.75" customHeight="1" x14ac:dyDescent="0.25">
      <c r="A27" s="145" t="s">
        <v>13</v>
      </c>
      <c r="B27" s="149">
        <f t="shared" si="5"/>
        <v>0</v>
      </c>
      <c r="C27" s="150"/>
      <c r="D27" s="124">
        <f t="shared" ref="D27:O27" si="7">SUM(D$17:D$26)</f>
        <v>0</v>
      </c>
      <c r="E27" s="106">
        <f t="shared" si="7"/>
        <v>0</v>
      </c>
      <c r="F27" s="122">
        <f t="shared" si="7"/>
        <v>0</v>
      </c>
      <c r="G27" s="106">
        <f t="shared" si="7"/>
        <v>0</v>
      </c>
      <c r="H27" s="122">
        <f t="shared" si="7"/>
        <v>0</v>
      </c>
      <c r="I27" s="106">
        <f t="shared" si="7"/>
        <v>0</v>
      </c>
      <c r="J27" s="122">
        <f t="shared" si="7"/>
        <v>0</v>
      </c>
      <c r="K27" s="106">
        <f t="shared" si="7"/>
        <v>0</v>
      </c>
      <c r="L27" s="122">
        <f t="shared" si="7"/>
        <v>0</v>
      </c>
      <c r="M27" s="106">
        <f t="shared" si="7"/>
        <v>0</v>
      </c>
      <c r="N27" s="122">
        <f t="shared" si="7"/>
        <v>0</v>
      </c>
      <c r="O27" s="107">
        <f t="shared" si="7"/>
        <v>0</v>
      </c>
    </row>
    <row r="28" spans="1:15" ht="15.75" thickBot="1" x14ac:dyDescent="0.3">
      <c r="A28" s="146"/>
      <c r="B28" s="151"/>
      <c r="C28" s="152"/>
      <c r="D28" s="121">
        <f>IF($B$27, D$27/$B$27, 0)</f>
        <v>0</v>
      </c>
      <c r="E28" s="119">
        <f>IF($B$27, E$27/$B$27, 0)</f>
        <v>0</v>
      </c>
      <c r="F28" s="119">
        <f t="shared" ref="F28:O28" si="8">IF($B$27, F$27/$B$27, 0)</f>
        <v>0</v>
      </c>
      <c r="G28" s="119">
        <f t="shared" si="8"/>
        <v>0</v>
      </c>
      <c r="H28" s="119">
        <f t="shared" si="8"/>
        <v>0</v>
      </c>
      <c r="I28" s="119">
        <f t="shared" si="8"/>
        <v>0</v>
      </c>
      <c r="J28" s="119">
        <f t="shared" si="8"/>
        <v>0</v>
      </c>
      <c r="K28" s="119">
        <f t="shared" si="8"/>
        <v>0</v>
      </c>
      <c r="L28" s="119">
        <f t="shared" si="8"/>
        <v>0</v>
      </c>
      <c r="M28" s="119">
        <f t="shared" si="8"/>
        <v>0</v>
      </c>
      <c r="N28" s="119">
        <f t="shared" si="8"/>
        <v>0</v>
      </c>
      <c r="O28" s="119">
        <f t="shared" si="8"/>
        <v>0</v>
      </c>
    </row>
    <row r="29" spans="1:15" ht="15.75" thickBot="1" x14ac:dyDescent="0.3"/>
    <row r="30" spans="1:15" ht="16.5" thickBot="1" x14ac:dyDescent="0.3">
      <c r="A30" s="9" t="s">
        <v>15</v>
      </c>
      <c r="B30" s="39" t="s">
        <v>16</v>
      </c>
      <c r="C30" s="6" t="s">
        <v>18</v>
      </c>
      <c r="D30" s="7" t="s">
        <v>17</v>
      </c>
      <c r="F30" s="143" t="s">
        <v>33</v>
      </c>
      <c r="G30" s="135"/>
      <c r="H30" s="102" t="s">
        <v>31</v>
      </c>
      <c r="I30" s="134" t="s">
        <v>32</v>
      </c>
      <c r="J30" s="135"/>
    </row>
    <row r="31" spans="1:15" x14ac:dyDescent="0.25">
      <c r="A31" s="10"/>
      <c r="B31" s="27"/>
      <c r="C31" s="17">
        <f>$D31-$B31</f>
        <v>0</v>
      </c>
      <c r="D31" s="20">
        <f>December!$N3</f>
        <v>0</v>
      </c>
      <c r="F31" s="144"/>
      <c r="G31" s="137"/>
      <c r="H31" s="98"/>
      <c r="I31" s="136"/>
      <c r="J31" s="137"/>
      <c r="L31" s="1"/>
      <c r="M31" s="1"/>
      <c r="N31" s="1"/>
    </row>
    <row r="32" spans="1:15" s="1" customFormat="1" x14ac:dyDescent="0.25">
      <c r="A32" s="10"/>
      <c r="B32" s="27"/>
      <c r="C32" s="17">
        <f t="shared" ref="C32:C39" si="9">$D32-$B32</f>
        <v>0</v>
      </c>
      <c r="D32" s="20">
        <f>December!$N4</f>
        <v>0</v>
      </c>
      <c r="F32" s="140"/>
      <c r="G32" s="139"/>
      <c r="H32" s="99"/>
      <c r="I32" s="138"/>
      <c r="J32" s="139"/>
    </row>
    <row r="33" spans="1:14" s="1" customFormat="1" x14ac:dyDescent="0.25">
      <c r="A33" s="10"/>
      <c r="B33" s="27"/>
      <c r="C33" s="17">
        <f t="shared" si="9"/>
        <v>0</v>
      </c>
      <c r="D33" s="20">
        <f>December!$N5</f>
        <v>0</v>
      </c>
      <c r="F33" s="140"/>
      <c r="G33" s="139"/>
      <c r="H33" s="99"/>
      <c r="I33" s="138"/>
      <c r="J33" s="139"/>
    </row>
    <row r="34" spans="1:14" s="1" customFormat="1" x14ac:dyDescent="0.25">
      <c r="A34" s="10"/>
      <c r="B34" s="27"/>
      <c r="C34" s="17">
        <f t="shared" si="9"/>
        <v>0</v>
      </c>
      <c r="D34" s="20">
        <f>December!$N6</f>
        <v>0</v>
      </c>
      <c r="F34" s="140"/>
      <c r="G34" s="139"/>
      <c r="H34" s="99"/>
      <c r="I34" s="138"/>
      <c r="J34" s="139"/>
    </row>
    <row r="35" spans="1:14" s="1" customFormat="1" x14ac:dyDescent="0.25">
      <c r="A35" s="10"/>
      <c r="B35" s="27"/>
      <c r="C35" s="17">
        <f t="shared" si="9"/>
        <v>0</v>
      </c>
      <c r="D35" s="20">
        <f>December!$N7</f>
        <v>0</v>
      </c>
      <c r="F35" s="140"/>
      <c r="G35" s="139"/>
      <c r="H35" s="99"/>
      <c r="I35" s="138"/>
      <c r="J35" s="139"/>
    </row>
    <row r="36" spans="1:14" s="1" customFormat="1" x14ac:dyDescent="0.25">
      <c r="A36" s="10"/>
      <c r="B36" s="27"/>
      <c r="C36" s="17">
        <f t="shared" si="9"/>
        <v>0</v>
      </c>
      <c r="D36" s="20">
        <f>December!$N8</f>
        <v>0</v>
      </c>
      <c r="F36" s="140"/>
      <c r="G36" s="139"/>
      <c r="H36" s="99"/>
      <c r="I36" s="138"/>
      <c r="J36" s="139"/>
    </row>
    <row r="37" spans="1:14" s="1" customFormat="1" x14ac:dyDescent="0.25">
      <c r="A37" s="10"/>
      <c r="B37" s="27"/>
      <c r="C37" s="17">
        <f t="shared" si="9"/>
        <v>0</v>
      </c>
      <c r="D37" s="20">
        <f>December!$N9</f>
        <v>0</v>
      </c>
      <c r="F37" s="140"/>
      <c r="G37" s="139"/>
      <c r="H37" s="99"/>
      <c r="I37" s="138"/>
      <c r="J37" s="139"/>
    </row>
    <row r="38" spans="1:14" s="1" customFormat="1" x14ac:dyDescent="0.25">
      <c r="A38" s="10"/>
      <c r="B38" s="27"/>
      <c r="C38" s="17">
        <f t="shared" si="9"/>
        <v>0</v>
      </c>
      <c r="D38" s="20">
        <f>December!$N10</f>
        <v>0</v>
      </c>
      <c r="F38" s="140"/>
      <c r="G38" s="139"/>
      <c r="H38" s="99"/>
      <c r="I38" s="138"/>
      <c r="J38" s="139"/>
      <c r="L38"/>
      <c r="M38"/>
      <c r="N38"/>
    </row>
    <row r="39" spans="1:14" x14ac:dyDescent="0.25">
      <c r="A39" s="10"/>
      <c r="B39" s="27"/>
      <c r="C39" s="17">
        <f t="shared" si="9"/>
        <v>0</v>
      </c>
      <c r="D39" s="20">
        <f>December!$N11</f>
        <v>0</v>
      </c>
      <c r="F39" s="140"/>
      <c r="G39" s="139"/>
      <c r="H39" s="99"/>
      <c r="I39" s="138"/>
      <c r="J39" s="139"/>
    </row>
    <row r="40" spans="1:14" ht="15.75" thickBot="1" x14ac:dyDescent="0.3">
      <c r="A40" s="10"/>
      <c r="B40" s="27"/>
      <c r="C40" s="17">
        <f>$D40-$B40</f>
        <v>0</v>
      </c>
      <c r="D40" s="20">
        <f>December!$N12</f>
        <v>0</v>
      </c>
      <c r="F40" s="140"/>
      <c r="G40" s="139"/>
      <c r="H40" s="99"/>
      <c r="I40" s="138"/>
      <c r="J40" s="139"/>
    </row>
    <row r="41" spans="1:14" ht="16.5" thickBot="1" x14ac:dyDescent="0.3">
      <c r="A41" s="11" t="s">
        <v>13</v>
      </c>
      <c r="B41" s="40">
        <f>SUM(B$31:B$40)</f>
        <v>0</v>
      </c>
      <c r="C41" s="18">
        <f>$D41-$B41</f>
        <v>0</v>
      </c>
      <c r="D41" s="21">
        <f>SUM(D$31:D$40)</f>
        <v>0</v>
      </c>
      <c r="F41" s="132" t="s">
        <v>34</v>
      </c>
      <c r="G41" s="133"/>
      <c r="H41" s="96">
        <f>COUNTA($F$31:$G40)</f>
        <v>0</v>
      </c>
      <c r="I41" s="95" t="s">
        <v>30</v>
      </c>
      <c r="J41" s="85"/>
    </row>
    <row r="42" spans="1:14" x14ac:dyDescent="0.25">
      <c r="F42" s="73"/>
      <c r="G42" s="73"/>
    </row>
    <row r="43" spans="1:14" x14ac:dyDescent="0.25">
      <c r="F43" s="73"/>
      <c r="G43" s="73"/>
    </row>
  </sheetData>
  <mergeCells count="30">
    <mergeCell ref="A1:B1"/>
    <mergeCell ref="F30:G30"/>
    <mergeCell ref="F31:G31"/>
    <mergeCell ref="F32:G32"/>
    <mergeCell ref="F40:G40"/>
    <mergeCell ref="F33:G33"/>
    <mergeCell ref="F34:G34"/>
    <mergeCell ref="F35:G35"/>
    <mergeCell ref="F36:G36"/>
    <mergeCell ref="F37:G37"/>
    <mergeCell ref="A27:A28"/>
    <mergeCell ref="A13:A14"/>
    <mergeCell ref="B2:C2"/>
    <mergeCell ref="B16:C16"/>
    <mergeCell ref="B13:C14"/>
    <mergeCell ref="B27:C28"/>
    <mergeCell ref="F41:G41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F38:G38"/>
    <mergeCell ref="F39:G39"/>
  </mergeCells>
  <conditionalFormatting sqref="C31:C41">
    <cfRule type="cellIs" dxfId="49" priority="3" operator="lessThan">
      <formula>0</formula>
    </cfRule>
    <cfRule type="cellIs" dxfId="48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6"/>
  <sheetViews>
    <sheetView workbookViewId="0">
      <pane ySplit="13" topLeftCell="A14" activePane="bottomLeft" state="frozen"/>
      <selection activeCell="C12" sqref="C12"/>
      <selection pane="bottomLeft" activeCell="E29" sqref="E29:F29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customWidth="1"/>
    <col min="5" max="5" width="17.140625" style="1" customWidth="1"/>
    <col min="6" max="6" width="27" customWidth="1"/>
    <col min="7" max="7" width="17.140625" customWidth="1"/>
    <col min="8" max="9" width="9.28515625" customWidth="1"/>
    <col min="10" max="10" width="10.7109375" customWidth="1"/>
    <col min="11" max="11" width="17.140625" customWidth="1"/>
    <col min="12" max="14" width="9.28515625" customWidth="1"/>
    <col min="15" max="15" width="17.140625" customWidth="1"/>
    <col min="16" max="16" width="9.28515625" style="1" customWidth="1"/>
    <col min="17" max="17" width="9.28515625" customWidth="1"/>
    <col min="18" max="19" width="12.140625" customWidth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90" t="s">
        <v>36</v>
      </c>
    </row>
    <row r="3" spans="1:18" x14ac:dyDescent="0.25">
      <c r="A3" s="67"/>
      <c r="B3" s="62">
        <v>1</v>
      </c>
      <c r="C3" s="63"/>
      <c r="D3" s="50"/>
      <c r="E3" s="48"/>
      <c r="F3" s="47"/>
      <c r="G3" s="61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Annual!$B31</f>
        <v>0</v>
      </c>
      <c r="M3" s="43">
        <f>SUMIF($E$3:$E$12, $K3, $D$3:$D$12)-SUMIF($C$3:$C$12, $K3, $D$3:$D$12)-SUMIF($G$16:$G$35, $K3, $D$16:$D$35)-SUMIF(Annual!$I$31:$I$40, $K3, $P$3:$P$12)</f>
        <v>0</v>
      </c>
      <c r="N3" s="43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91">
        <f ca="1">SUMIFS($D$16:$D$35, $G$16:$G$35, $O3, $A$16:$A$35, "&lt;="&amp;_xlfn.SHEET()-1&amp;"/"&amp;Annual!$H$31&amp;"/"&amp;Annual!$J$41)+$R3</f>
        <v>0</v>
      </c>
      <c r="R3" s="89"/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61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Annual!$B32</f>
        <v>0</v>
      </c>
      <c r="M4" s="43">
        <f>SUMIF($E$3:$E$12, $K4, $D$3:$D$12)-SUMIF($C$3:$C$12, $K4, $D$3:$D$12)-SUMIF($G$16:$G$35, $K4, $D$16:$D$35)-SUMIF(Annual!$I$31:$I$40, $K4, $P$3:$P$12)</f>
        <v>0</v>
      </c>
      <c r="N4" s="43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91">
        <f ca="1">SUMIFS($D$16:$D$35, $G$16:$G$35, $O4, $A$16:$A$35, "&lt;="&amp;_xlfn.SHEET()-1&amp;"/"&amp;Annual!$H$32&amp;"/"&amp;Annual!$J$41)+$R4</f>
        <v>0</v>
      </c>
      <c r="R4" s="89"/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61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Annual!$B33</f>
        <v>0</v>
      </c>
      <c r="M5" s="43">
        <f>SUMIF($E$3:$E$12, $K5, $D$3:$D$12)-SUMIF($C$3:$C$12, $K5, $D$3:$D$12)-SUMIF($G$16:$G$35, $K5, $D$16:$D$35)-SUMIF(Annual!$I$31:$I$40, $K5, $P$3:$P$12)</f>
        <v>0</v>
      </c>
      <c r="N5" s="43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91">
        <f ca="1">SUMIFS($D$16:$D$35, $G$16:$G$35, $O5, $A$16:$A$35, "&lt;="&amp;_xlfn.SHEET()-1&amp;"/"&amp;Annual!$H$33&amp;"/"&amp;Annual!$J$41)+$R5</f>
        <v>0</v>
      </c>
      <c r="R5" s="89"/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61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Annual!$B34</f>
        <v>0</v>
      </c>
      <c r="M6" s="43">
        <f>SUMIF($E$3:$E$12, $K6, $D$3:$D$12)-SUMIF($C$3:$C$12, $K6, $D$3:$D$12)-SUMIF($G$16:$G$35, $K6, $D$16:$D$35)-SUMIF(Annual!$I$31:$I$40, $K6, $P$3:$P$12)</f>
        <v>0</v>
      </c>
      <c r="N6" s="43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91">
        <f ca="1">SUMIFS($D$16:$D$35, $G$16:$G$35, $O6, $A$16:$A$35, "&lt;="&amp;_xlfn.SHEET()-1&amp;"/"&amp;Annual!$H$34&amp;"/"&amp;Annual!$J$41)+$R6</f>
        <v>0</v>
      </c>
      <c r="R6" s="89"/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61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Annual!$B35</f>
        <v>0</v>
      </c>
      <c r="M7" s="43">
        <f>SUMIF($E$3:$E$12, $K7, $D$3:$D$12)-SUMIF($C$3:$C$12, $K7, $D$3:$D$12)-SUMIF($G$16:$G$35, $K7, $D$16:$D$35)-SUMIF(Annual!$I$31:$I$40, $K7, $P$3:$P$12)</f>
        <v>0</v>
      </c>
      <c r="N7" s="43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91">
        <f ca="1">SUMIFS($D$16:$D$35, $G$16:$G$35, $O7, $A$16:$A$35, "&lt;="&amp;_xlfn.SHEET()-1&amp;"/"&amp;Annual!$H$35&amp;"/"&amp;Annual!$J$41)+$R7</f>
        <v>0</v>
      </c>
      <c r="R7" s="89"/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61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Annual!$B36</f>
        <v>0</v>
      </c>
      <c r="M8" s="43">
        <f>SUMIF($E$3:$E$12, $K8, $D$3:$D$12)-SUMIF($C$3:$C$12, $K8, $D$3:$D$12)-SUMIF($G$16:$G$35, $K8, $D$16:$D$35)-SUMIF(Annual!$I$31:$I$40, $K8, $P$3:$P$12)</f>
        <v>0</v>
      </c>
      <c r="N8" s="43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91">
        <f ca="1">SUMIFS($D$16:$D$35, $G$16:$G$35, $O8, $A$16:$A$35, "&lt;="&amp;_xlfn.SHEET()-1&amp;"/"&amp;Annual!$H$36&amp;"/"&amp;Annual!$J$41)+$R8</f>
        <v>0</v>
      </c>
      <c r="R8" s="89"/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61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Annual!$B37</f>
        <v>0</v>
      </c>
      <c r="M9" s="43">
        <f>SUMIF($E$3:$E$12, $K9, $D$3:$D$12)-SUMIF($C$3:$C$12, $K9, $D$3:$D$12)-SUMIF($G$16:$G$35, $K9, $D$16:$D$35)-SUMIF(Annual!$I$31:$I$40, $K9, $P$3:$P$12)</f>
        <v>0</v>
      </c>
      <c r="N9" s="43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91">
        <f ca="1">SUMIFS($D$16:$D$35, $G$16:$G$35, $O9, $A$16:$A$35, "&lt;="&amp;_xlfn.SHEET()-1&amp;"/"&amp;Annual!$H$37&amp;"/"&amp;Annual!$J$41)+$R9</f>
        <v>0</v>
      </c>
      <c r="R9" s="89"/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61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Annual!$B38</f>
        <v>0</v>
      </c>
      <c r="M10" s="43">
        <f>SUMIF($E$3:$E$12, $K10, $D$3:$D$12)-SUMIF($C$3:$C$12, $K10, $D$3:$D$12)-SUMIF($G$16:$G$35, $K10, $D$16:$D$35)-SUMIF(Annual!$I$31:$I$40, $K10, $P$3:$P$12)</f>
        <v>0</v>
      </c>
      <c r="N10" s="43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91">
        <f ca="1">SUMIFS($D$16:$D$35, $G$16:$G$35, $O10, $A$16:$A$35, "&lt;="&amp;_xlfn.SHEET()-1&amp;"/"&amp;Annual!$H$38&amp;"/"&amp;Annual!$J$41)+$R10</f>
        <v>0</v>
      </c>
      <c r="R10" s="89"/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61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Annual!$B39</f>
        <v>0</v>
      </c>
      <c r="M11" s="43">
        <f>SUMIF($E$3:$E$12, $K11, $D$3:$D$12)-SUMIF($C$3:$C$12, $K11, $D$3:$D$12)-SUMIF($G$16:$G$35, $K11, $D$16:$D$35)-SUMIF(Annual!$I$31:$I$40, $K11, $P$3:$P$12)</f>
        <v>0</v>
      </c>
      <c r="N11" s="43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91">
        <f ca="1">SUMIFS($D$16:$D$35, $G$16:$G$35, $O11, $A$16:$A$35, "&lt;="&amp;_xlfn.SHEET()-1&amp;"/"&amp;Annual!$H$39&amp;"/"&amp;Annual!$J$41)+$R11</f>
        <v>0</v>
      </c>
      <c r="R11" s="89"/>
    </row>
    <row r="12" spans="1:18" ht="15.75" thickBot="1" x14ac:dyDescent="0.3">
      <c r="A12" s="68"/>
      <c r="B12" s="26">
        <f>COUNT($B$3:$B11)+1</f>
        <v>10</v>
      </c>
      <c r="C12" s="51"/>
      <c r="D12" s="19"/>
      <c r="E12" s="64"/>
      <c r="F12" s="5"/>
      <c r="G12" s="61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Annual!$B40</f>
        <v>0</v>
      </c>
      <c r="M12" s="43">
        <f>SUMIF($E$3:$E$12, $K12, $D$3:$D$12)-SUMIF($C$3:$C$12, $K12, $D$3:$D$12)-SUMIF($G$16:$G$35, $K12, $D$16:$D$35)-SUMIF(Annual!$I$31:$I$40, $K12, $P$3:$P$12)</f>
        <v>0</v>
      </c>
      <c r="N12" s="43">
        <f>$L12+$M12</f>
        <v>0</v>
      </c>
      <c r="O12" s="82" t="str">
        <f>IF(Annual!$F40 &lt;&gt; "", Annual!$F40, "")</f>
        <v/>
      </c>
      <c r="P12" s="91">
        <f t="shared" si="1"/>
        <v>0</v>
      </c>
      <c r="Q12" s="91">
        <f ca="1">SUMIFS($D$16:$D$35, $G$16:$G$35, $O12, $A$16:$A$35, "&lt;="&amp;_xlfn.SHEET()-1&amp;"/"&amp;Annual!$H$40&amp;"/"&amp;Annual!$J$41)+$R12</f>
        <v>0</v>
      </c>
      <c r="R12" s="89"/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79">
        <f>$L13+$M13</f>
        <v>0</v>
      </c>
      <c r="O13" s="81" t="s">
        <v>13</v>
      </c>
      <c r="P13" s="93">
        <f>SUM($P3:$P12)</f>
        <v>0</v>
      </c>
      <c r="Q13" s="88">
        <f ca="1">SUM($Q3:$Q12)</f>
        <v>0</v>
      </c>
      <c r="R13" s="83">
        <f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  <c r="H15" s="25"/>
      <c r="I15" s="24"/>
      <c r="N15" s="1"/>
      <c r="P15"/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  <c r="H16" s="25"/>
      <c r="I16" s="25"/>
      <c r="L16" s="131"/>
      <c r="N16" s="1"/>
      <c r="P16"/>
    </row>
    <row r="17" spans="1:9" s="1" customFormat="1" x14ac:dyDescent="0.25">
      <c r="A17" s="66"/>
      <c r="B17" s="13">
        <f>COUNT($B$16:$B16)+1</f>
        <v>2</v>
      </c>
      <c r="C17" s="128"/>
      <c r="D17" s="29"/>
      <c r="E17" s="153"/>
      <c r="F17" s="154"/>
      <c r="G17" s="3"/>
      <c r="H17" s="25"/>
      <c r="I17" s="25"/>
    </row>
    <row r="18" spans="1:9" s="1" customFormat="1" x14ac:dyDescent="0.25">
      <c r="A18" s="66"/>
      <c r="B18" s="13">
        <f>COUNT($B$16:$B17)+1</f>
        <v>3</v>
      </c>
      <c r="C18" s="128"/>
      <c r="D18" s="29"/>
      <c r="E18" s="153"/>
      <c r="F18" s="154"/>
      <c r="G18" s="3"/>
      <c r="H18" s="25"/>
      <c r="I18" s="25"/>
    </row>
    <row r="19" spans="1:9" s="1" customFormat="1" x14ac:dyDescent="0.25">
      <c r="A19" s="66"/>
      <c r="B19" s="13">
        <f>COUNT($B$16:$B18)+1</f>
        <v>4</v>
      </c>
      <c r="C19" s="128"/>
      <c r="D19" s="29"/>
      <c r="E19" s="153"/>
      <c r="F19" s="154"/>
      <c r="G19" s="3"/>
      <c r="H19" s="25"/>
      <c r="I19" s="25"/>
    </row>
    <row r="20" spans="1:9" s="1" customFormat="1" x14ac:dyDescent="0.25">
      <c r="A20" s="66"/>
      <c r="B20" s="13">
        <f>COUNT($B$16:$B19)+1</f>
        <v>5</v>
      </c>
      <c r="C20" s="128"/>
      <c r="D20" s="29"/>
      <c r="E20" s="153"/>
      <c r="F20" s="154"/>
      <c r="G20" s="3"/>
      <c r="H20" s="25"/>
      <c r="I20" s="25"/>
    </row>
    <row r="21" spans="1:9" s="1" customFormat="1" x14ac:dyDescent="0.25">
      <c r="A21" s="66"/>
      <c r="B21" s="13">
        <f>COUNT($B$16:$B20)+1</f>
        <v>6</v>
      </c>
      <c r="C21" s="128"/>
      <c r="D21" s="29"/>
      <c r="E21" s="153"/>
      <c r="F21" s="154"/>
      <c r="G21" s="3"/>
      <c r="H21" s="25"/>
      <c r="I21" s="25"/>
    </row>
    <row r="22" spans="1:9" s="1" customFormat="1" x14ac:dyDescent="0.25">
      <c r="A22" s="66"/>
      <c r="B22" s="13">
        <f>COUNT($B$16:$B21)+1</f>
        <v>7</v>
      </c>
      <c r="C22" s="128"/>
      <c r="D22" s="29"/>
      <c r="E22" s="153"/>
      <c r="F22" s="154"/>
      <c r="G22" s="3"/>
      <c r="H22" s="25"/>
      <c r="I22" s="25"/>
    </row>
    <row r="23" spans="1:9" s="1" customFormat="1" x14ac:dyDescent="0.25">
      <c r="A23" s="66"/>
      <c r="B23" s="13">
        <f>COUNT($B$16:$B22)+1</f>
        <v>8</v>
      </c>
      <c r="C23" s="128"/>
      <c r="D23" s="29"/>
      <c r="E23" s="153"/>
      <c r="F23" s="154"/>
      <c r="G23" s="3"/>
      <c r="H23" s="25"/>
      <c r="I23" s="25"/>
    </row>
    <row r="24" spans="1:9" s="1" customFormat="1" x14ac:dyDescent="0.25">
      <c r="A24" s="66"/>
      <c r="B24" s="13">
        <f>COUNT($B$16:$B23)+1</f>
        <v>9</v>
      </c>
      <c r="C24" s="128"/>
      <c r="D24" s="29"/>
      <c r="E24" s="153"/>
      <c r="F24" s="154"/>
      <c r="G24" s="3"/>
      <c r="H24" s="25"/>
      <c r="I24" s="25"/>
    </row>
    <row r="25" spans="1:9" s="1" customFormat="1" x14ac:dyDescent="0.25">
      <c r="A25" s="66"/>
      <c r="B25" s="13">
        <f>COUNT($B$16:$B24)+1</f>
        <v>10</v>
      </c>
      <c r="C25" s="128"/>
      <c r="D25" s="29"/>
      <c r="E25" s="153"/>
      <c r="F25" s="154"/>
      <c r="G25" s="3"/>
      <c r="H25" s="25"/>
      <c r="I25" s="25"/>
    </row>
    <row r="26" spans="1:9" s="1" customFormat="1" x14ac:dyDescent="0.25">
      <c r="A26" s="66"/>
      <c r="B26" s="13">
        <f>COUNT($B$16:$B25)+1</f>
        <v>11</v>
      </c>
      <c r="C26" s="128"/>
      <c r="D26" s="29"/>
      <c r="E26" s="153"/>
      <c r="F26" s="154"/>
      <c r="G26" s="3"/>
      <c r="H26" s="25"/>
      <c r="I26" s="25"/>
    </row>
    <row r="27" spans="1:9" s="1" customFormat="1" x14ac:dyDescent="0.25">
      <c r="A27" s="66"/>
      <c r="B27" s="13">
        <f>COUNT($B$16:$B26)+1</f>
        <v>12</v>
      </c>
      <c r="C27" s="128"/>
      <c r="D27" s="29"/>
      <c r="E27" s="153"/>
      <c r="F27" s="154"/>
      <c r="G27" s="3"/>
      <c r="H27" s="25"/>
      <c r="I27" s="25"/>
    </row>
    <row r="28" spans="1:9" s="1" customFormat="1" x14ac:dyDescent="0.25">
      <c r="A28" s="66"/>
      <c r="B28" s="13">
        <f>COUNT($B$16:$B27)+1</f>
        <v>13</v>
      </c>
      <c r="C28" s="128"/>
      <c r="D28" s="29"/>
      <c r="E28" s="153"/>
      <c r="F28" s="154"/>
      <c r="G28" s="3"/>
      <c r="H28" s="25"/>
      <c r="I28" s="25"/>
    </row>
    <row r="29" spans="1:9" s="1" customFormat="1" x14ac:dyDescent="0.25">
      <c r="A29" s="66"/>
      <c r="B29" s="13">
        <f>COUNT($B$16:$B28)+1</f>
        <v>14</v>
      </c>
      <c r="C29" s="128"/>
      <c r="D29" s="29"/>
      <c r="E29" s="153"/>
      <c r="F29" s="154"/>
      <c r="G29" s="3"/>
      <c r="H29" s="25"/>
      <c r="I29" s="25"/>
    </row>
    <row r="30" spans="1:9" s="1" customFormat="1" x14ac:dyDescent="0.25">
      <c r="A30" s="66"/>
      <c r="B30" s="13">
        <f>COUNT($B$16:$B29)+1</f>
        <v>15</v>
      </c>
      <c r="C30" s="128"/>
      <c r="D30" s="29"/>
      <c r="E30" s="153"/>
      <c r="F30" s="154"/>
      <c r="G30" s="3"/>
      <c r="H30" s="25"/>
      <c r="I30" s="25"/>
    </row>
    <row r="31" spans="1:9" s="1" customFormat="1" x14ac:dyDescent="0.25">
      <c r="A31" s="66"/>
      <c r="B31" s="13">
        <f>COUNT($B$16:$B30)+1</f>
        <v>16</v>
      </c>
      <c r="C31" s="128"/>
      <c r="D31" s="29"/>
      <c r="E31" s="153"/>
      <c r="F31" s="154"/>
      <c r="G31" s="3"/>
      <c r="H31" s="25"/>
      <c r="I31" s="25"/>
    </row>
    <row r="32" spans="1:9" s="1" customFormat="1" x14ac:dyDescent="0.25">
      <c r="A32" s="66"/>
      <c r="B32" s="13">
        <f>COUNT($B$16:$B31)+1</f>
        <v>17</v>
      </c>
      <c r="C32" s="128"/>
      <c r="D32" s="29"/>
      <c r="E32" s="153"/>
      <c r="F32" s="154"/>
      <c r="G32" s="3"/>
      <c r="H32" s="25"/>
      <c r="I32" s="25"/>
    </row>
    <row r="33" spans="1:16" s="1" customFormat="1" x14ac:dyDescent="0.25">
      <c r="A33" s="66"/>
      <c r="B33" s="13">
        <f>COUNT($B$16:$B32)+1</f>
        <v>18</v>
      </c>
      <c r="C33" s="128"/>
      <c r="D33" s="29"/>
      <c r="E33" s="153"/>
      <c r="F33" s="154"/>
      <c r="G33" s="3"/>
      <c r="H33" s="25"/>
      <c r="I33" s="25"/>
    </row>
    <row r="34" spans="1:16" s="1" customFormat="1" x14ac:dyDescent="0.25">
      <c r="A34" s="66"/>
      <c r="B34" s="13">
        <f>COUNT($B$16:$B33)+1</f>
        <v>19</v>
      </c>
      <c r="C34" s="128"/>
      <c r="D34" s="29"/>
      <c r="E34" s="153"/>
      <c r="F34" s="154"/>
      <c r="G34" s="3"/>
      <c r="H34" s="25"/>
      <c r="I34" s="25"/>
    </row>
    <row r="35" spans="1:16" s="1" customFormat="1" ht="15.75" thickBot="1" x14ac:dyDescent="0.3">
      <c r="A35" s="66"/>
      <c r="B35" s="13">
        <f>COUNT($B$16:$B34)+1</f>
        <v>20</v>
      </c>
      <c r="C35" s="130"/>
      <c r="D35" s="29"/>
      <c r="E35" s="153"/>
      <c r="F35" s="154"/>
      <c r="G35" s="3"/>
      <c r="H35" s="25"/>
      <c r="I35" s="25"/>
    </row>
    <row r="36" spans="1:16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  <c r="N36" s="1"/>
      <c r="P36"/>
    </row>
  </sheetData>
  <mergeCells count="25">
    <mergeCell ref="A13:C13"/>
    <mergeCell ref="E15:F15"/>
    <mergeCell ref="D13:F13"/>
    <mergeCell ref="E16:F16"/>
    <mergeCell ref="E28:F28"/>
    <mergeCell ref="E26:F26"/>
    <mergeCell ref="E17:F17"/>
    <mergeCell ref="E18:F18"/>
    <mergeCell ref="E19:F19"/>
    <mergeCell ref="E20:F20"/>
    <mergeCell ref="E25:F25"/>
    <mergeCell ref="E21:F21"/>
    <mergeCell ref="E22:F22"/>
    <mergeCell ref="E23:F23"/>
    <mergeCell ref="E24:F24"/>
    <mergeCell ref="E27:F27"/>
    <mergeCell ref="E29:F29"/>
    <mergeCell ref="E30:F30"/>
    <mergeCell ref="E35:F35"/>
    <mergeCell ref="A36:B36"/>
    <mergeCell ref="C36:G36"/>
    <mergeCell ref="E31:F31"/>
    <mergeCell ref="E32:F32"/>
    <mergeCell ref="E33:F33"/>
    <mergeCell ref="E34:F34"/>
  </mergeCells>
  <conditionalFormatting sqref="J3:J12">
    <cfRule type="cellIs" dxfId="47" priority="6" operator="greaterThan">
      <formula>0</formula>
    </cfRule>
    <cfRule type="cellIs" dxfId="46" priority="7" operator="lessThan">
      <formula>0</formula>
    </cfRule>
  </conditionalFormatting>
  <conditionalFormatting sqref="J3:J13 M3:M13">
    <cfRule type="cellIs" dxfId="45" priority="3" operator="lessThan">
      <formula>0</formula>
    </cfRule>
    <cfRule type="cellIs" dxfId="44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January!$N3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"&lt;="&amp;_xlfn.SHEET()-1&amp;"/"&amp;Annual!$H$31&amp;"/"&amp;Annual!$J$41)+SUMIFS(January!$D$16:$D$35, January!$G$16:$G$35, $O3, January!$A$16:$A$35,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January!$N4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"&lt;="&amp;_xlfn.SHEET()-1&amp;"/"&amp;Annual!$H$32&amp;"/"&amp;Annual!$J$41)+SUMIFS(January!$D$16:$D$35, January!$G$16:$G$35, $O4, January!$A$16:$A$35,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January!$N5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"&lt;="&amp;_xlfn.SHEET()-1&amp;"/"&amp;Annual!$H$33&amp;"/"&amp;Annual!$J$41)+SUMIFS(January!$D$16:$D$35, January!$G$16:$G$35, $O5, January!$A$16:$A$35,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January!$N6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"&lt;="&amp;_xlfn.SHEET()-1&amp;"/"&amp;Annual!$H$34&amp;"/"&amp;Annual!$J$41)+SUMIFS(January!$D$16:$D$35, January!$G$16:$G$35, $O6, January!$A$16:$A$35,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January!$N7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"&lt;="&amp;_xlfn.SHEET()-1&amp;"/"&amp;Annual!$H$35&amp;"/"&amp;Annual!$J$41)+SUMIFS(January!$D$16:$D$35, January!$G$16:$G$35, $O7, January!$A$16:$A$35,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January!$N8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"&lt;="&amp;_xlfn.SHEET()-1&amp;"/"&amp;Annual!$H$36&amp;"/"&amp;Annual!$J$41)+SUMIFS(January!$D$16:$D$35, January!$G$16:$G$35, $O8, January!$A$16:$A$35,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January!$N9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"&lt;="&amp;_xlfn.SHEET()-1&amp;"/"&amp;Annual!$H$37&amp;"/"&amp;Annual!$J$41)+SUMIFS(January!$D$16:$D$35, January!$G$16:$G$35, $O9, January!$A$16:$A$35,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January!$N10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"&lt;="&amp;_xlfn.SHEET()-1&amp;"/"&amp;Annual!$H$38&amp;"/"&amp;Annual!$J$41)+SUMIFS(January!$D$16:$D$35, January!$G$16:$G$35, $O10, January!$A$16:$A$35,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January!$N11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"&lt;="&amp;_xlfn.SHEET()-1&amp;"/"&amp;Annual!$H$39&amp;"/"&amp;Annual!$J$41)+SUMIFS(January!$D$16:$D$35, January!$G$16:$G$35, $O11, January!$A$16:$A$35,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January!$N12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"&lt;="&amp;_xlfn.SHEET()-1&amp;"/"&amp;Annual!$H$40&amp;"/"&amp;Annual!$J$41)+SUMIFS(January!$D$16:$D$35, January!$G$16:$G$35, $O12, January!$A$16:$A$35,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23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43" priority="4" operator="greaterThan">
      <formula>0</formula>
    </cfRule>
    <cfRule type="cellIs" dxfId="42" priority="5" operator="lessThan">
      <formula>0</formula>
    </cfRule>
  </conditionalFormatting>
  <conditionalFormatting sqref="M3:M13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February!$N3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"&lt;="&amp;_xlfn.SHEET()-1&amp;"/"&amp;Annual!$H$31&amp;"/"&amp;Annual!$J$41)+SUMIFS(February!$D$16:$D$35, February!$G$16:$G$35, $O3, February!$A$16:$A$35,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February!$N4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"&lt;="&amp;_xlfn.SHEET()-1&amp;"/"&amp;Annual!$H$32&amp;"/"&amp;Annual!$J$41)+SUMIFS(February!$D$16:$D$35, February!$G$16:$G$35, $O4, February!$A$16:$A$35,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February!$N5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"&lt;="&amp;_xlfn.SHEET()-1&amp;"/"&amp;Annual!$H$33&amp;"/"&amp;Annual!$J$41)+SUMIFS(February!$D$16:$D$35, February!$G$16:$G$35, $O5, February!$A$16:$A$35,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February!$N6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"&lt;="&amp;_xlfn.SHEET()-1&amp;"/"&amp;Annual!$H$34&amp;"/"&amp;Annual!$J$41)+SUMIFS(February!$D$16:$D$35, February!$G$16:$G$35, $O6, February!$A$16:$A$35,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February!$N7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"&lt;="&amp;_xlfn.SHEET()-1&amp;"/"&amp;Annual!$H$35&amp;"/"&amp;Annual!$J$41)+SUMIFS(February!$D$16:$D$35, February!$G$16:$G$35, $O7, February!$A$16:$A$35,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February!$N8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"&lt;="&amp;_xlfn.SHEET()-1&amp;"/"&amp;Annual!$H$36&amp;"/"&amp;Annual!$J$41)+SUMIFS(February!$D$16:$D$35, February!$G$16:$G$35, $O8, February!$A$16:$A$35,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February!$N9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"&lt;="&amp;_xlfn.SHEET()-1&amp;"/"&amp;Annual!$H$37&amp;"/"&amp;Annual!$J$41)+SUMIFS(February!$D$16:$D$35, February!$G$16:$G$35, $O9, February!$A$16:$A$35,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February!$N10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"&lt;="&amp;_xlfn.SHEET()-1&amp;"/"&amp;Annual!$H$38&amp;"/"&amp;Annual!$J$41)+SUMIFS(February!$D$16:$D$35, February!$G$16:$G$35, $O10, February!$A$16:$A$35,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February!$N11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"&lt;="&amp;_xlfn.SHEET()-1&amp;"/"&amp;Annual!$H$39&amp;"/"&amp;Annual!$J$41)+SUMIFS(February!$D$16:$D$35, February!$G$16:$G$35, $O11, February!$A$16:$A$35,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February!$N12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"&lt;="&amp;_xlfn.SHEET()-1&amp;"/"&amp;Annual!$H$40&amp;"/"&amp;Annual!$J$41)+SUMIFS(February!$D$16:$D$35, February!$G$16:$G$35, $O12, February!$A$16:$A$35,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9" priority="4" operator="greaterThan">
      <formula>0</formula>
    </cfRule>
    <cfRule type="cellIs" dxfId="38" priority="5" operator="lessThan">
      <formula>0</formula>
    </cfRule>
  </conditionalFormatting>
  <conditionalFormatting sqref="M3:M13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77" t="s">
        <v>33</v>
      </c>
      <c r="P2" s="100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March!$N3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"&lt;="&amp;_xlfn.SHEET()-1&amp;"/"&amp;Annual!$H$31&amp;"/"&amp;Annual!$J$41)+SUMIFS(March!$D$16:$D$35, March!$G$16:$G$35, $O3, March!$A$16:$A$35,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March!$N4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"&lt;="&amp;_xlfn.SHEET()-1&amp;"/"&amp;Annual!$H$32&amp;"/"&amp;Annual!$J$41)+SUMIFS(March!$D$16:$D$35, March!$G$16:$G$35, $O4, March!$A$16:$A$35,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March!$N5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"&lt;="&amp;_xlfn.SHEET()-1&amp;"/"&amp;Annual!$H$33&amp;"/"&amp;Annual!$J$41)+SUMIFS(March!$D$16:$D$35, March!$G$16:$G$35, $O5, March!$A$16:$A$35,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March!$N6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"&lt;="&amp;_xlfn.SHEET()-1&amp;"/"&amp;Annual!$H$34&amp;"/"&amp;Annual!$J$41)+SUMIFS(March!$D$16:$D$35, March!$G$16:$G$35, $O6, March!$A$16:$A$35,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March!$N7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"&lt;="&amp;_xlfn.SHEET()-1&amp;"/"&amp;Annual!$H$35&amp;"/"&amp;Annual!$J$41)+SUMIFS(March!$D$16:$D$35, March!$G$16:$G$35, $O7, March!$A$16:$A$35,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March!$N8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"&lt;="&amp;_xlfn.SHEET()-1&amp;"/"&amp;Annual!$H$36&amp;"/"&amp;Annual!$J$41)+SUMIFS(March!$D$16:$D$35, March!$G$16:$G$35, $O8, March!$A$16:$A$35,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March!$N9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"&lt;="&amp;_xlfn.SHEET()-1&amp;"/"&amp;Annual!$H$37&amp;"/"&amp;Annual!$J$41)+SUMIFS(March!$D$16:$D$35, March!$G$16:$G$35, $O9, March!$A$16:$A$35,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March!$N10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"&lt;="&amp;_xlfn.SHEET()-1&amp;"/"&amp;Annual!$H$38&amp;"/"&amp;Annual!$J$41)+SUMIFS(March!$D$16:$D$35, March!$G$16:$G$35, $O10, March!$A$16:$A$35, "&gt;"&amp;_xlfn.SHEET()-2&amp;"/"&amp;Annual!$H$38&amp;"/"&amp;Annual!$J$41)</f>
        <v>0</v>
      </c>
    </row>
    <row r="11" spans="1:17" ht="15" customHeight="1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March!$N11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"&lt;="&amp;_xlfn.SHEET()-1&amp;"/"&amp;Annual!$H$39&amp;"/"&amp;Annual!$J$41)+SUMIFS(March!$D$16:$D$35, March!$G$16:$G$35, $O11, March!$A$16:$A$35,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March!$N12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"&lt;="&amp;_xlfn.SHEET()-1&amp;"/"&amp;Annual!$H$40&amp;"/"&amp;Annual!$J$41)+SUMIFS(March!$D$16:$D$35, March!$G$16:$G$35, $O12, March!$A$16:$A$35,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5" priority="4" operator="greaterThan">
      <formula>0</formula>
    </cfRule>
    <cfRule type="cellIs" dxfId="34" priority="5" operator="lessThan">
      <formula>0</formula>
    </cfRule>
  </conditionalFormatting>
  <conditionalFormatting sqref="M3:M13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April!$N3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"&lt;="&amp;_xlfn.SHEET()-1&amp;"/"&amp;Annual!$H$31&amp;"/"&amp;Annual!$J$41)+SUMIFS(April!$D$16:$D$35, April!$G$16:$G$35, $O3, April!$A$16:$A$35,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April!$N4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"&lt;="&amp;_xlfn.SHEET()-1&amp;"/"&amp;Annual!$H$32&amp;"/"&amp;Annual!$J$41)+SUMIFS(April!$D$16:$D$35, April!$G$16:$G$35, $O4, April!$A$16:$A$35,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April!$N5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"&lt;="&amp;_xlfn.SHEET()-1&amp;"/"&amp;Annual!$H$33&amp;"/"&amp;Annual!$J$41)+SUMIFS(April!$D$16:$D$35, April!$G$16:$G$35, $O5, April!$A$16:$A$35,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April!$N6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"&lt;="&amp;_xlfn.SHEET()-1&amp;"/"&amp;Annual!$H$34&amp;"/"&amp;Annual!$J$41)+SUMIFS(April!$D$16:$D$35, April!$G$16:$G$35, $O6, April!$A$16:$A$35,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April!$N7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"&lt;="&amp;_xlfn.SHEET()-1&amp;"/"&amp;Annual!$H$35&amp;"/"&amp;Annual!$J$41)+SUMIFS(April!$D$16:$D$35, April!$G$16:$G$35, $O7, April!$A$16:$A$35,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April!$N8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"&lt;="&amp;_xlfn.SHEET()-1&amp;"/"&amp;Annual!$H$36&amp;"/"&amp;Annual!$J$41)+SUMIFS(April!$D$16:$D$35, April!$G$16:$G$35, $O8, April!$A$16:$A$35,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April!$N9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"&lt;="&amp;_xlfn.SHEET()-1&amp;"/"&amp;Annual!$H$37&amp;"/"&amp;Annual!$J$41)+SUMIFS(April!$D$16:$D$35, April!$G$16:$G$35, $O9, April!$A$16:$A$35,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April!$N10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"&lt;="&amp;_xlfn.SHEET()-1&amp;"/"&amp;Annual!$H$38&amp;"/"&amp;Annual!$J$41)+SUMIFS(April!$D$16:$D$35, April!$G$16:$G$35, $O10, April!$A$16:$A$35,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April!$N11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"&lt;="&amp;_xlfn.SHEET()-1&amp;"/"&amp;Annual!$H$39&amp;"/"&amp;Annual!$J$41)+SUMIFS(April!$D$16:$D$35, April!$G$16:$G$35, $O11, April!$A$16:$A$35,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April!$N12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"&lt;="&amp;_xlfn.SHEET()-1&amp;"/"&amp;Annual!$H$40&amp;"/"&amp;Annual!$J$41)+SUMIFS(April!$D$16:$D$35, April!$G$16:$G$35, $O12, April!$A$16:$A$35,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31" priority="4" operator="greaterThan">
      <formula>0</formula>
    </cfRule>
    <cfRule type="cellIs" dxfId="30" priority="5" operator="lessThan">
      <formula>0</formula>
    </cfRule>
  </conditionalFormatting>
  <conditionalFormatting sqref="M3:M13">
    <cfRule type="cellIs" dxfId="29" priority="1" operator="lessThan">
      <formula>0</formula>
    </cfRule>
    <cfRule type="cellIs" dxfId="2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36"/>
  <sheetViews>
    <sheetView workbookViewId="0">
      <pane ySplit="13" topLeftCell="A14" activePane="bottomLeft" state="frozen"/>
      <selection activeCell="K31" sqref="K31"/>
      <selection pane="bottomLeft" activeCell="D13" sqref="D13:F13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May!$N3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"&lt;="&amp;_xlfn.SHEET()-1&amp;"/"&amp;Annual!$H$31&amp;"/"&amp;Annual!$J$41)+SUMIFS(May!$D$16:$D$35, May!$G$16:$G$35, $O3, May!$A$16:$A$35,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May!$N4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"&lt;="&amp;_xlfn.SHEET()-1&amp;"/"&amp;Annual!$H$32&amp;"/"&amp;Annual!$J$41)+SUMIFS(May!$D$16:$D$35, May!$G$16:$G$35, $O4, May!$A$16:$A$35,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May!$N5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"&lt;="&amp;_xlfn.SHEET()-1&amp;"/"&amp;Annual!$H$33&amp;"/"&amp;Annual!$J$41)+SUMIFS(May!$D$16:$D$35, May!$G$16:$G$35, $O5, May!$A$16:$A$35,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May!$N6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"&lt;="&amp;_xlfn.SHEET()-1&amp;"/"&amp;Annual!$H$34&amp;"/"&amp;Annual!$J$41)+SUMIFS(May!$D$16:$D$35, May!$G$16:$G$35, $O6, May!$A$16:$A$35,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May!$N7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"&lt;="&amp;_xlfn.SHEET()-1&amp;"/"&amp;Annual!$H$35&amp;"/"&amp;Annual!$J$41)+SUMIFS(May!$D$16:$D$35, May!$G$16:$G$35, $O7, May!$A$16:$A$35,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May!$N8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"&lt;="&amp;_xlfn.SHEET()-1&amp;"/"&amp;Annual!$H$36&amp;"/"&amp;Annual!$J$41)+SUMIFS(May!$D$16:$D$35, May!$G$16:$G$35, $O8, May!$A$16:$A$35,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May!$N9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"&lt;="&amp;_xlfn.SHEET()-1&amp;"/"&amp;Annual!$H$37&amp;"/"&amp;Annual!$J$41)+SUMIFS(May!$D$16:$D$35, May!$G$16:$G$35, $O9, May!$A$16:$A$35,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May!$N10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"&lt;="&amp;_xlfn.SHEET()-1&amp;"/"&amp;Annual!$H$38&amp;"/"&amp;Annual!$J$41)+SUMIFS(May!$D$16:$D$35, May!$G$16:$G$35, $O10, May!$A$16:$A$35,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May!$N11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"&lt;="&amp;_xlfn.SHEET()-1&amp;"/"&amp;Annual!$H$39&amp;"/"&amp;Annual!$J$41)+SUMIFS(May!$D$16:$D$35, May!$G$16:$G$35, $O11, May!$A$16:$A$35,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May!$N12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"&lt;="&amp;_xlfn.SHEET()-1&amp;"/"&amp;Annual!$H$40&amp;"/"&amp;Annual!$J$41)+SUMIFS(May!$D$16:$D$35, May!$G$16:$G$35, $O12, May!$A$16:$A$35,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7" priority="4" operator="greaterThan">
      <formula>0</formula>
    </cfRule>
    <cfRule type="cellIs" dxfId="26" priority="5" operator="lessThan">
      <formula>0</formula>
    </cfRule>
  </conditionalFormatting>
  <conditionalFormatting sqref="M3:M13">
    <cfRule type="cellIs" dxfId="25" priority="1" operator="lessThan">
      <formula>0</formula>
    </cfRule>
    <cfRule type="cellIs" dxfId="2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June!$N3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"&lt;="&amp;_xlfn.SHEET()-1&amp;"/"&amp;Annual!$H$31&amp;"/"&amp;Annual!$J$41)+SUMIFS(June!$D$16:$D$35, June!$G$16:$G$35, $O3, June!$A$16:$A$35,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June!$N4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"&lt;="&amp;_xlfn.SHEET()-1&amp;"/"&amp;Annual!$H$32&amp;"/"&amp;Annual!$J$41)+SUMIFS(June!$D$16:$D$35, June!$G$16:$G$35, $O4, June!$A$16:$A$35,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June!$N5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"&lt;="&amp;_xlfn.SHEET()-1&amp;"/"&amp;Annual!$H$33&amp;"/"&amp;Annual!$J$41)+SUMIFS(June!$D$16:$D$35, June!$G$16:$G$35, $O5, June!$A$16:$A$35,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June!$N6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"&lt;="&amp;_xlfn.SHEET()-1&amp;"/"&amp;Annual!$H$34&amp;"/"&amp;Annual!$J$41)+SUMIFS(June!$D$16:$D$35, June!$G$16:$G$35, $O6, June!$A$16:$A$35,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June!$N7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"&lt;="&amp;_xlfn.SHEET()-1&amp;"/"&amp;Annual!$H$35&amp;"/"&amp;Annual!$J$41)+SUMIFS(June!$D$16:$D$35, June!$G$16:$G$35, $O7, June!$A$16:$A$35,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June!$N8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"&lt;="&amp;_xlfn.SHEET()-1&amp;"/"&amp;Annual!$H$36&amp;"/"&amp;Annual!$J$41)+SUMIFS(June!$D$16:$D$35, June!$G$16:$G$35, $O8, June!$A$16:$A$35,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June!$N9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"&lt;="&amp;_xlfn.SHEET()-1&amp;"/"&amp;Annual!$H$37&amp;"/"&amp;Annual!$J$41)+SUMIFS(June!$D$16:$D$35, June!$G$16:$G$35, $O9, June!$A$16:$A$35,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June!$N10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"&lt;="&amp;_xlfn.SHEET()-1&amp;"/"&amp;Annual!$H$38&amp;"/"&amp;Annual!$J$41)+SUMIFS(June!$D$16:$D$35, June!$G$16:$G$35, $O10, June!$A$16:$A$35,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June!$N11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"&lt;="&amp;_xlfn.SHEET()-1&amp;"/"&amp;Annual!$H$39&amp;"/"&amp;Annual!$J$41)+SUMIFS(June!$D$16:$D$35, June!$G$16:$G$35, $O11, June!$A$16:$A$35,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June!$N12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"&lt;="&amp;_xlfn.SHEET()-1&amp;"/"&amp;Annual!$H$40&amp;"/"&amp;Annual!$J$41)+SUMIFS(June!$D$16:$D$35, June!$G$16:$G$35, $O12, June!$A$16:$A$35,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23" priority="4" operator="greaterThan">
      <formula>0</formula>
    </cfRule>
    <cfRule type="cellIs" dxfId="22" priority="5" operator="lessThan">
      <formula>0</formula>
    </cfRule>
  </conditionalFormatting>
  <conditionalFormatting sqref="M3:M13">
    <cfRule type="cellIs" dxfId="21" priority="1" operator="lessThan">
      <formula>0</formula>
    </cfRule>
    <cfRule type="cellIs" dxfId="2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July!$N3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"&lt;="&amp;_xlfn.SHEET()-1&amp;"/"&amp;Annual!$H$31&amp;"/"&amp;Annual!$J$41)+SUMIFS(July!$D$16:$D$35, July!$G$16:$G$35, $O3, July!$A$16:$A$35,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July!$N4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"&lt;="&amp;_xlfn.SHEET()-1&amp;"/"&amp;Annual!$H$32&amp;"/"&amp;Annual!$J$41)+SUMIFS(July!$D$16:$D$35, July!$G$16:$G$35, $O4, July!$A$16:$A$35,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July!$N5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"&lt;="&amp;_xlfn.SHEET()-1&amp;"/"&amp;Annual!$H$33&amp;"/"&amp;Annual!$J$41)+SUMIFS(July!$D$16:$D$35, July!$G$16:$G$35, $O5, July!$A$16:$A$35,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July!$N6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"&lt;="&amp;_xlfn.SHEET()-1&amp;"/"&amp;Annual!$H$34&amp;"/"&amp;Annual!$J$41)+SUMIFS(July!$D$16:$D$35, July!$G$16:$G$35, $O6, July!$A$16:$A$35,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July!$N7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"&lt;="&amp;_xlfn.SHEET()-1&amp;"/"&amp;Annual!$H$35&amp;"/"&amp;Annual!$J$41)+SUMIFS(July!$D$16:$D$35, July!$G$16:$G$35, $O7, July!$A$16:$A$35,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July!$N8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"&lt;="&amp;_xlfn.SHEET()-1&amp;"/"&amp;Annual!$H$36&amp;"/"&amp;Annual!$J$41)+SUMIFS(July!$D$16:$D$35, July!$G$16:$G$35, $O8, July!$A$16:$A$35,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July!$N9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"&lt;="&amp;_xlfn.SHEET()-1&amp;"/"&amp;Annual!$H$37&amp;"/"&amp;Annual!$J$41)+SUMIFS(July!$D$16:$D$35, July!$G$16:$G$35, $O9, July!$A$16:$A$35,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July!$N10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"&lt;="&amp;_xlfn.SHEET()-1&amp;"/"&amp;Annual!$H$38&amp;"/"&amp;Annual!$J$41)+SUMIFS(July!$D$16:$D$35, July!$G$16:$G$35, $O10, July!$A$16:$A$35,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July!$N11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"&lt;="&amp;_xlfn.SHEET()-1&amp;"/"&amp;Annual!$H$39&amp;"/"&amp;Annual!$J$41)+SUMIFS(July!$D$16:$D$35, July!$G$16:$G$35, $O11, July!$A$16:$A$35,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July!$N12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"&lt;="&amp;_xlfn.SHEET()-1&amp;"/"&amp;Annual!$H$40&amp;"/"&amp;Annual!$J$41)+SUMIFS(July!$D$16:$D$35, July!$G$16:$G$35, $O12, July!$A$16:$A$35,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9" priority="4" operator="greaterThan">
      <formula>0</formula>
    </cfRule>
    <cfRule type="cellIs" dxfId="18" priority="5" operator="lessThan">
      <formula>0</formula>
    </cfRule>
  </conditionalFormatting>
  <conditionalFormatting sqref="M3:M13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August!$N3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"&lt;="&amp;_xlfn.SHEET()-1&amp;"/"&amp;Annual!$H$31&amp;"/"&amp;Annual!$J$41)+SUMIFS(August!$D$16:$D$35, August!$G$16:$G$35, $O3, August!$A$16:$A$35,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August!$N4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"&lt;="&amp;_xlfn.SHEET()-1&amp;"/"&amp;Annual!$H$32&amp;"/"&amp;Annual!$J$41)+SUMIFS(August!$D$16:$D$35, August!$G$16:$G$35, $O4, August!$A$16:$A$35,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August!$N5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"&lt;="&amp;_xlfn.SHEET()-1&amp;"/"&amp;Annual!$H$33&amp;"/"&amp;Annual!$J$41)+SUMIFS(August!$D$16:$D$35, August!$G$16:$G$35, $O5, August!$A$16:$A$35,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August!$N6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"&lt;="&amp;_xlfn.SHEET()-1&amp;"/"&amp;Annual!$H$34&amp;"/"&amp;Annual!$J$41)+SUMIFS(August!$D$16:$D$35, August!$G$16:$G$35, $O6, August!$A$16:$A$35,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August!$N7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"&lt;="&amp;_xlfn.SHEET()-1&amp;"/"&amp;Annual!$H$35&amp;"/"&amp;Annual!$J$41)+SUMIFS(August!$D$16:$D$35, August!$G$16:$G$35, $O7, August!$A$16:$A$35,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August!$N8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"&lt;="&amp;_xlfn.SHEET()-1&amp;"/"&amp;Annual!$H$36&amp;"/"&amp;Annual!$J$41)+SUMIFS(August!$D$16:$D$35, August!$G$16:$G$35, $O8, August!$A$16:$A$35,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August!$N9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"&lt;="&amp;_xlfn.SHEET()-1&amp;"/"&amp;Annual!$H$37&amp;"/"&amp;Annual!$J$41)+SUMIFS(August!$D$16:$D$35, August!$G$16:$G$35, $O9, August!$A$16:$A$35,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August!$N10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"&lt;="&amp;_xlfn.SHEET()-1&amp;"/"&amp;Annual!$H$38&amp;"/"&amp;Annual!$J$41)+SUMIFS(August!$D$16:$D$35, August!$G$16:$G$35, $O10, August!$A$16:$A$35,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August!$N11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"&lt;="&amp;_xlfn.SHEET()-1&amp;"/"&amp;Annual!$H$39&amp;"/"&amp;Annual!$J$41)+SUMIFS(August!$D$16:$D$35, August!$G$16:$G$35, $O11, August!$A$16:$A$35,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August!$N12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"&lt;="&amp;_xlfn.SHEET()-1&amp;"/"&amp;Annual!$H$40&amp;"/"&amp;Annual!$J$41)+SUMIFS(August!$D$16:$D$35, August!$G$16:$G$35, $O12, August!$A$16:$A$35,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5" priority="4" operator="greaterThan">
      <formula>0</formula>
    </cfRule>
    <cfRule type="cellIs" dxfId="14" priority="5" operator="lessThan">
      <formula>0</formula>
    </cfRule>
  </conditionalFormatting>
  <conditionalFormatting sqref="M3:M13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September!$N3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"&lt;="&amp;_xlfn.SHEET()-1&amp;"/"&amp;Annual!$H$31&amp;"/"&amp;Annual!$J$41)+SUMIFS(September!$D$16:$D$35, September!$G$16:$G$35, $O3, September!$A$16:$A$35,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September!$N4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"&lt;="&amp;_xlfn.SHEET()-1&amp;"/"&amp;Annual!$H$32&amp;"/"&amp;Annual!$J$41)+SUMIFS(September!$D$16:$D$35, September!$G$16:$G$35, $O4, September!$A$16:$A$35,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September!$N5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"&lt;="&amp;_xlfn.SHEET()-1&amp;"/"&amp;Annual!$H$33&amp;"/"&amp;Annual!$J$41)+SUMIFS(September!$D$16:$D$35, September!$G$16:$G$35, $O5, September!$A$16:$A$35,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September!$N6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"&lt;="&amp;_xlfn.SHEET()-1&amp;"/"&amp;Annual!$H$34&amp;"/"&amp;Annual!$J$41)+SUMIFS(September!$D$16:$D$35, September!$G$16:$G$35, $O6, September!$A$16:$A$35,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September!$N7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"&lt;="&amp;_xlfn.SHEET()-1&amp;"/"&amp;Annual!$H$35&amp;"/"&amp;Annual!$J$41)+SUMIFS(September!$D$16:$D$35, September!$G$16:$G$35, $O7, September!$A$16:$A$35,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September!$N8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"&lt;="&amp;_xlfn.SHEET()-1&amp;"/"&amp;Annual!$H$36&amp;"/"&amp;Annual!$J$41)+SUMIFS(September!$D$16:$D$35, September!$G$16:$G$35, $O8, September!$A$16:$A$35,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September!$N9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"&lt;="&amp;_xlfn.SHEET()-1&amp;"/"&amp;Annual!$H$37&amp;"/"&amp;Annual!$J$41)+SUMIFS(September!$D$16:$D$35, September!$G$16:$G$35, $O9, September!$A$16:$A$35,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September!$N10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"&lt;="&amp;_xlfn.SHEET()-1&amp;"/"&amp;Annual!$H$38&amp;"/"&amp;Annual!$J$41)+SUMIFS(September!$D$16:$D$35, September!$G$16:$G$35, $O10, September!$A$16:$A$35,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September!$N11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"&lt;="&amp;_xlfn.SHEET()-1&amp;"/"&amp;Annual!$H$39&amp;"/"&amp;Annual!$J$41)+SUMIFS(September!$D$16:$D$35, September!$G$16:$G$35, $O11, September!$A$16:$A$35,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September!$N12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"&lt;="&amp;_xlfn.SHEET()-1&amp;"/"&amp;Annual!$H$40&amp;"/"&amp;Annual!$J$41)+SUMIFS(September!$D$16:$D$35, September!$G$16:$G$35, $O12, September!$A$16:$A$35,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23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11" priority="4" operator="greaterThan">
      <formula>0</formula>
    </cfRule>
    <cfRule type="cellIs" dxfId="10" priority="5" operator="lessThan">
      <formula>0</formula>
    </cfRule>
  </conditionalFormatting>
  <conditionalFormatting sqref="M3:M13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6384" width="9.140625" style="1"/>
  </cols>
  <sheetData>
    <row r="1" spans="1:17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7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6" t="s">
        <v>39</v>
      </c>
    </row>
    <row r="3" spans="1:17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October!$N3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4">
        <f ca="1">SUMIFS($D$16:$D$35, $G$16:$G$35, $O3, $A$16:$A$35, "&lt;="&amp;_xlfn.SHEET()-1&amp;"/"&amp;Annual!$H$31&amp;"/"&amp;Annual!$J$41)+SUMIFS(October!$D$16:$D$35, October!$G$16:$G$35, $O3, October!$A$16:$A$35, "&gt;"&amp;_xlfn.SHEET()-2&amp;"/"&amp;Annual!$H$31&amp;"/"&amp;Annual!$J$41)</f>
        <v>0</v>
      </c>
    </row>
    <row r="4" spans="1:17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October!$N4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4">
        <f ca="1">SUMIFS($D$16:$D$35, $G$16:$G$35, $O4, $A$16:$A$35, "&lt;="&amp;_xlfn.SHEET()-1&amp;"/"&amp;Annual!$H$32&amp;"/"&amp;Annual!$J$41)+SUMIFS(October!$D$16:$D$35, October!$G$16:$G$35, $O4, October!$A$16:$A$35, "&gt;"&amp;_xlfn.SHEET()-2&amp;"/"&amp;Annual!$H$32&amp;"/"&amp;Annual!$J$41)</f>
        <v>0</v>
      </c>
    </row>
    <row r="5" spans="1:17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October!$N5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4">
        <f ca="1">SUMIFS($D$16:$D$35, $G$16:$G$35, $O5, $A$16:$A$35, "&lt;="&amp;_xlfn.SHEET()-1&amp;"/"&amp;Annual!$H$33&amp;"/"&amp;Annual!$J$41)+SUMIFS(October!$D$16:$D$35, October!$G$16:$G$35, $O5, October!$A$16:$A$35, "&gt;"&amp;_xlfn.SHEET()-2&amp;"/"&amp;Annual!$H$33&amp;"/"&amp;Annual!$J$41)</f>
        <v>0</v>
      </c>
    </row>
    <row r="6" spans="1:17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October!$N6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4">
        <f ca="1">SUMIFS($D$16:$D$35, $G$16:$G$35, $O6, $A$16:$A$35, "&lt;="&amp;_xlfn.SHEET()-1&amp;"/"&amp;Annual!$H$34&amp;"/"&amp;Annual!$J$41)+SUMIFS(October!$D$16:$D$35, October!$G$16:$G$35, $O6, October!$A$16:$A$35, "&gt;"&amp;_xlfn.SHEET()-2&amp;"/"&amp;Annual!$H$34&amp;"/"&amp;Annual!$J$41)</f>
        <v>0</v>
      </c>
    </row>
    <row r="7" spans="1:17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October!$N7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4">
        <f ca="1">SUMIFS($D$16:$D$35, $G$16:$G$35, $O7, $A$16:$A$35, "&lt;="&amp;_xlfn.SHEET()-1&amp;"/"&amp;Annual!$H$35&amp;"/"&amp;Annual!$J$41)+SUMIFS(October!$D$16:$D$35, October!$G$16:$G$35, $O7, October!$A$16:$A$35, "&gt;"&amp;_xlfn.SHEET()-2&amp;"/"&amp;Annual!$H$35&amp;"/"&amp;Annual!$J$41)</f>
        <v>0</v>
      </c>
    </row>
    <row r="8" spans="1:17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October!$N8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4">
        <f ca="1">SUMIFS($D$16:$D$35, $G$16:$G$35, $O8, $A$16:$A$35, "&lt;="&amp;_xlfn.SHEET()-1&amp;"/"&amp;Annual!$H$36&amp;"/"&amp;Annual!$J$41)+SUMIFS(October!$D$16:$D$35, October!$G$16:$G$35, $O8, October!$A$16:$A$35, "&gt;"&amp;_xlfn.SHEET()-2&amp;"/"&amp;Annual!$H$36&amp;"/"&amp;Annual!$J$41)</f>
        <v>0</v>
      </c>
    </row>
    <row r="9" spans="1:17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October!$N9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4">
        <f ca="1">SUMIFS($D$16:$D$35, $G$16:$G$35, $O9, $A$16:$A$35, "&lt;="&amp;_xlfn.SHEET()-1&amp;"/"&amp;Annual!$H$37&amp;"/"&amp;Annual!$J$41)+SUMIFS(October!$D$16:$D$35, October!$G$16:$G$35, $O9, October!$A$16:$A$35, "&gt;"&amp;_xlfn.SHEET()-2&amp;"/"&amp;Annual!$H$37&amp;"/"&amp;Annual!$J$41)</f>
        <v>0</v>
      </c>
    </row>
    <row r="10" spans="1:17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October!$N10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4">
        <f ca="1">SUMIFS($D$16:$D$35, $G$16:$G$35, $O10, $A$16:$A$35, "&lt;="&amp;_xlfn.SHEET()-1&amp;"/"&amp;Annual!$H$38&amp;"/"&amp;Annual!$J$41)+SUMIFS(October!$D$16:$D$35, October!$G$16:$G$35, $O10, October!$A$16:$A$35, "&gt;"&amp;_xlfn.SHEET()-2&amp;"/"&amp;Annual!$H$38&amp;"/"&amp;Annual!$J$41)</f>
        <v>0</v>
      </c>
    </row>
    <row r="11" spans="1:17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October!$N11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4">
        <f ca="1">SUMIFS($D$16:$D$35, $G$16:$G$35, $O11, $A$16:$A$35, "&lt;="&amp;_xlfn.SHEET()-1&amp;"/"&amp;Annual!$H$39&amp;"/"&amp;Annual!$J$41)+SUMIFS(October!$D$16:$D$35, October!$G$16:$G$35, $O11, October!$A$16:$A$35, "&gt;"&amp;_xlfn.SHEET()-2&amp;"/"&amp;Annual!$H$39&amp;"/"&amp;Annual!$J$41)</f>
        <v>0</v>
      </c>
    </row>
    <row r="12" spans="1:17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October!$N12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4">
        <f ca="1">SUMIFS($D$16:$D$35, $G$16:$G$35, $O12, $A$16:$A$35, "&lt;="&amp;_xlfn.SHEET()-1&amp;"/"&amp;Annual!$H$40&amp;"/"&amp;Annual!$J$41)+SUMIFS(October!$D$16:$D$35, October!$G$16:$G$35, $O12, October!$A$16:$A$35, "&gt;"&amp;_xlfn.SHEET()-2&amp;"/"&amp;Annual!$H$40&amp;"/"&amp;Annual!$J$41)</f>
        <v>0</v>
      </c>
    </row>
    <row r="13" spans="1:17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3">
        <f ca="1">SUM($Q3:$Q12)</f>
        <v>0</v>
      </c>
    </row>
    <row r="14" spans="1:17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7" ht="16.5" thickBot="1" x14ac:dyDescent="0.3">
      <c r="A15" s="31" t="s">
        <v>23</v>
      </c>
      <c r="B15" s="129" t="s">
        <v>27</v>
      </c>
      <c r="C15" s="102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7" x14ac:dyDescent="0.25">
      <c r="A16" s="66"/>
      <c r="B16" s="12">
        <v>1</v>
      </c>
      <c r="C16" s="103"/>
      <c r="D16" s="28"/>
      <c r="E16" s="163"/>
      <c r="F16" s="164"/>
      <c r="G16" s="3"/>
    </row>
    <row r="17" spans="1:7" x14ac:dyDescent="0.25">
      <c r="A17" s="66"/>
      <c r="B17" s="13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66"/>
      <c r="B18" s="13">
        <f>COUNT($B$16:$B17)+1</f>
        <v>3</v>
      </c>
      <c r="C18" s="23"/>
      <c r="D18" s="29"/>
      <c r="E18" s="153"/>
      <c r="F18" s="154"/>
      <c r="G18" s="3"/>
    </row>
    <row r="19" spans="1:7" x14ac:dyDescent="0.25">
      <c r="A19" s="66"/>
      <c r="B19" s="13">
        <f>COUNT($B$16:$B18)+1</f>
        <v>4</v>
      </c>
      <c r="C19" s="23"/>
      <c r="D19" s="29"/>
      <c r="E19" s="153"/>
      <c r="F19" s="154"/>
      <c r="G19" s="3"/>
    </row>
    <row r="20" spans="1:7" x14ac:dyDescent="0.25">
      <c r="A20" s="66"/>
      <c r="B20" s="13">
        <f>COUNT($B$16:$B19)+1</f>
        <v>5</v>
      </c>
      <c r="C20" s="23"/>
      <c r="D20" s="29"/>
      <c r="E20" s="165"/>
      <c r="F20" s="166"/>
      <c r="G20" s="3"/>
    </row>
    <row r="21" spans="1:7" x14ac:dyDescent="0.25">
      <c r="A21" s="66"/>
      <c r="B21" s="13">
        <f>COUNT($B$16:$B20)+1</f>
        <v>6</v>
      </c>
      <c r="C21" s="23"/>
      <c r="D21" s="29"/>
      <c r="E21" s="153"/>
      <c r="F21" s="154"/>
      <c r="G21" s="3"/>
    </row>
    <row r="22" spans="1:7" x14ac:dyDescent="0.25">
      <c r="A22" s="66"/>
      <c r="B22" s="13">
        <f>COUNT($B$16:$B21)+1</f>
        <v>7</v>
      </c>
      <c r="C22" s="23"/>
      <c r="D22" s="29"/>
      <c r="E22" s="153"/>
      <c r="F22" s="154"/>
      <c r="G22" s="3"/>
    </row>
    <row r="23" spans="1:7" x14ac:dyDescent="0.25">
      <c r="A23" s="66"/>
      <c r="B23" s="13">
        <f>COUNT($B$16:$B22)+1</f>
        <v>8</v>
      </c>
      <c r="C23" s="23"/>
      <c r="D23" s="29"/>
      <c r="E23" s="153"/>
      <c r="F23" s="154"/>
      <c r="G23" s="3"/>
    </row>
    <row r="24" spans="1:7" x14ac:dyDescent="0.25">
      <c r="A24" s="66"/>
      <c r="B24" s="13">
        <f>COUNT($B$16:$B23)+1</f>
        <v>9</v>
      </c>
      <c r="C24" s="23"/>
      <c r="D24" s="29"/>
      <c r="E24" s="153"/>
      <c r="F24" s="154"/>
      <c r="G24" s="3"/>
    </row>
    <row r="25" spans="1:7" x14ac:dyDescent="0.25">
      <c r="A25" s="66"/>
      <c r="B25" s="13">
        <f>COUNT($B$16:$B24)+1</f>
        <v>10</v>
      </c>
      <c r="C25" s="23"/>
      <c r="D25" s="29"/>
      <c r="E25" s="153"/>
      <c r="F25" s="154"/>
      <c r="G25" s="3"/>
    </row>
    <row r="26" spans="1:7" x14ac:dyDescent="0.25">
      <c r="A26" s="66"/>
      <c r="B26" s="13">
        <f>COUNT($B$16:$B25)+1</f>
        <v>11</v>
      </c>
      <c r="C26" s="23"/>
      <c r="D26" s="29"/>
      <c r="E26" s="153"/>
      <c r="F26" s="154"/>
      <c r="G26" s="3"/>
    </row>
    <row r="27" spans="1:7" x14ac:dyDescent="0.25">
      <c r="A27" s="66"/>
      <c r="B27" s="13">
        <f>COUNT($B$16:$B26)+1</f>
        <v>12</v>
      </c>
      <c r="C27" s="23"/>
      <c r="D27" s="29"/>
      <c r="E27" s="153"/>
      <c r="F27" s="154"/>
      <c r="G27" s="3"/>
    </row>
    <row r="28" spans="1:7" x14ac:dyDescent="0.25">
      <c r="A28" s="66"/>
      <c r="B28" s="13">
        <f>COUNT($B$16:$B27)+1</f>
        <v>13</v>
      </c>
      <c r="C28" s="23"/>
      <c r="D28" s="29"/>
      <c r="E28" s="153"/>
      <c r="F28" s="154"/>
      <c r="G28" s="3"/>
    </row>
    <row r="29" spans="1:7" x14ac:dyDescent="0.25">
      <c r="A29" s="66"/>
      <c r="B29" s="13">
        <f>COUNT($B$16:$B28)+1</f>
        <v>14</v>
      </c>
      <c r="C29" s="23"/>
      <c r="D29" s="29"/>
      <c r="E29" s="153"/>
      <c r="F29" s="154"/>
      <c r="G29" s="3"/>
    </row>
    <row r="30" spans="1:7" x14ac:dyDescent="0.25">
      <c r="A30" s="66"/>
      <c r="B30" s="13">
        <f>COUNT($B$16:$B29)+1</f>
        <v>15</v>
      </c>
      <c r="C30" s="23"/>
      <c r="D30" s="29"/>
      <c r="E30" s="153"/>
      <c r="F30" s="154"/>
      <c r="G30" s="3"/>
    </row>
    <row r="31" spans="1:7" x14ac:dyDescent="0.25">
      <c r="A31" s="66"/>
      <c r="B31" s="13">
        <f>COUNT($B$16:$B30)+1</f>
        <v>16</v>
      </c>
      <c r="C31" s="23"/>
      <c r="D31" s="29"/>
      <c r="E31" s="153"/>
      <c r="F31" s="154"/>
      <c r="G31" s="3"/>
    </row>
    <row r="32" spans="1:7" x14ac:dyDescent="0.25">
      <c r="A32" s="66"/>
      <c r="B32" s="13">
        <f>COUNT($B$16:$B31)+1</f>
        <v>17</v>
      </c>
      <c r="C32" s="23"/>
      <c r="D32" s="29"/>
      <c r="E32" s="153"/>
      <c r="F32" s="154"/>
      <c r="G32" s="3"/>
    </row>
    <row r="33" spans="1:7" x14ac:dyDescent="0.25">
      <c r="A33" s="66"/>
      <c r="B33" s="13">
        <f>COUNT($B$16:$B32)+1</f>
        <v>18</v>
      </c>
      <c r="C33" s="23"/>
      <c r="D33" s="29"/>
      <c r="E33" s="153"/>
      <c r="F33" s="154"/>
      <c r="G33" s="3"/>
    </row>
    <row r="34" spans="1:7" x14ac:dyDescent="0.25">
      <c r="A34" s="66"/>
      <c r="B34" s="13">
        <f>COUNT($B$16:$B33)+1</f>
        <v>19</v>
      </c>
      <c r="C34" s="23"/>
      <c r="D34" s="29"/>
      <c r="E34" s="153"/>
      <c r="F34" s="154"/>
      <c r="G34" s="3"/>
    </row>
    <row r="35" spans="1:7" ht="15.75" thickBot="1" x14ac:dyDescent="0.3">
      <c r="A35" s="66"/>
      <c r="B35" s="13">
        <f>COUNT($B$16:$B34)+1</f>
        <v>20</v>
      </c>
      <c r="C35" s="97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6:F26"/>
    <mergeCell ref="E27:F27"/>
    <mergeCell ref="E28:F28"/>
    <mergeCell ref="E29:F29"/>
    <mergeCell ref="E21:F21"/>
    <mergeCell ref="E22:F22"/>
    <mergeCell ref="E23:F23"/>
    <mergeCell ref="E24:F24"/>
    <mergeCell ref="E25:F25"/>
    <mergeCell ref="E35:F35"/>
    <mergeCell ref="A36:B36"/>
    <mergeCell ref="C36:G36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  <mergeCell ref="E20:F20"/>
  </mergeCells>
  <conditionalFormatting sqref="J3:J13">
    <cfRule type="cellIs" dxfId="7" priority="4" operator="greaterThan">
      <formula>0</formula>
    </cfRule>
    <cfRule type="cellIs" dxfId="6" priority="5" operator="lessThan">
      <formula>0</formula>
    </cfRule>
  </conditionalFormatting>
  <conditionalFormatting sqref="M3:M1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6"/>
  <sheetViews>
    <sheetView workbookViewId="0">
      <pane ySplit="13" topLeftCell="A14" activePane="bottomLeft" state="frozen"/>
      <selection activeCell="K31" sqref="K31"/>
      <selection pane="bottomLeft" activeCell="D14" sqref="D14"/>
    </sheetView>
  </sheetViews>
  <sheetFormatPr defaultRowHeight="15" x14ac:dyDescent="0.25"/>
  <cols>
    <col min="1" max="1" width="18.5703125" style="32" customWidth="1"/>
    <col min="2" max="2" width="2.85546875" style="2" customWidth="1"/>
    <col min="3" max="3" width="17.140625" style="1" customWidth="1"/>
    <col min="4" max="4" width="9.28515625" style="1" customWidth="1"/>
    <col min="5" max="5" width="17.140625" style="1" customWidth="1"/>
    <col min="6" max="6" width="27" style="1" customWidth="1"/>
    <col min="7" max="7" width="17.140625" style="1" customWidth="1"/>
    <col min="8" max="9" width="9.28515625" style="1" customWidth="1"/>
    <col min="10" max="10" width="10.7109375" style="1" customWidth="1"/>
    <col min="11" max="11" width="17.140625" style="1" customWidth="1"/>
    <col min="12" max="14" width="9.28515625" style="1" customWidth="1"/>
    <col min="15" max="15" width="17.140625" style="1" customWidth="1"/>
    <col min="16" max="17" width="9.28515625" style="1" customWidth="1"/>
    <col min="18" max="18" width="12.140625" style="1" customWidth="1"/>
    <col min="19" max="16384" width="9.140625" style="1"/>
  </cols>
  <sheetData>
    <row r="1" spans="1:18" ht="16.5" thickBot="1" x14ac:dyDescent="0.3">
      <c r="A1" s="55" t="s">
        <v>28</v>
      </c>
      <c r="B1" s="56"/>
      <c r="C1" s="57"/>
      <c r="D1" s="33"/>
      <c r="E1" s="14"/>
      <c r="F1" s="15"/>
      <c r="G1" s="41"/>
      <c r="H1" s="41"/>
      <c r="I1" s="41"/>
      <c r="J1" s="41"/>
      <c r="K1" s="41"/>
      <c r="L1" s="41"/>
      <c r="M1" s="41"/>
      <c r="N1" s="41"/>
    </row>
    <row r="2" spans="1:18" ht="16.5" thickBot="1" x14ac:dyDescent="0.3">
      <c r="A2" s="52" t="s">
        <v>23</v>
      </c>
      <c r="B2" s="53" t="s">
        <v>27</v>
      </c>
      <c r="C2" s="54" t="s">
        <v>41</v>
      </c>
      <c r="D2" s="39" t="s">
        <v>19</v>
      </c>
      <c r="E2" s="39" t="s">
        <v>40</v>
      </c>
      <c r="F2" s="4" t="s">
        <v>20</v>
      </c>
      <c r="G2" s="36" t="s">
        <v>14</v>
      </c>
      <c r="H2" s="8" t="s">
        <v>21</v>
      </c>
      <c r="I2" s="37" t="s">
        <v>17</v>
      </c>
      <c r="J2" s="78" t="s">
        <v>22</v>
      </c>
      <c r="K2" s="81" t="s">
        <v>15</v>
      </c>
      <c r="L2" s="78" t="s">
        <v>16</v>
      </c>
      <c r="M2" s="78" t="s">
        <v>18</v>
      </c>
      <c r="N2" s="76" t="s">
        <v>17</v>
      </c>
      <c r="O2" s="92" t="s">
        <v>33</v>
      </c>
      <c r="P2" s="78" t="s">
        <v>38</v>
      </c>
      <c r="Q2" s="78" t="s">
        <v>39</v>
      </c>
      <c r="R2" s="76" t="s">
        <v>37</v>
      </c>
    </row>
    <row r="3" spans="1:18" x14ac:dyDescent="0.25">
      <c r="A3" s="68"/>
      <c r="B3" s="26">
        <v>1</v>
      </c>
      <c r="C3" s="51"/>
      <c r="D3" s="50"/>
      <c r="E3" s="48"/>
      <c r="F3" s="47"/>
      <c r="G3" s="42" t="str">
        <f>IF(Annual!$A17 &lt;&gt; "", Annual!$A17, "")</f>
        <v/>
      </c>
      <c r="H3" s="19"/>
      <c r="I3" s="44">
        <f t="shared" ref="I3:I12" si="0">SUMIF($C$16:$C$35, $G3, $D$16:$D$35)</f>
        <v>0</v>
      </c>
      <c r="J3" s="45">
        <f>IF($H3 = 0, 0, $H3-$I3)</f>
        <v>0</v>
      </c>
      <c r="K3" s="82" t="str">
        <f>IF(Annual!$A31 &lt;&gt; "", Annual!$A31, "")</f>
        <v/>
      </c>
      <c r="L3" s="94">
        <f>November!$N3</f>
        <v>0</v>
      </c>
      <c r="M3" s="43">
        <f>SUMIF($E$3:$E$12, $K3, $D$3:$D$12)-SUMIF($C$3:$C$12, $K3, $D$3:$D$12)-SUMIF($G$16:$G$35, $K3, $D$16:$D$35)-SUMIF(Annual!$I$31:$I$40, $K3, $P$3:$P$12)</f>
        <v>0</v>
      </c>
      <c r="N3" s="46">
        <f>$L3+$M3</f>
        <v>0</v>
      </c>
      <c r="O3" s="82" t="str">
        <f>IF(Annual!$F31 &lt;&gt; "", Annual!$F31, "")</f>
        <v/>
      </c>
      <c r="P3" s="91">
        <f t="shared" ref="P3:P12" si="1">SUMIF($G$16:$G$35, $O3, $D$16:$D$35)</f>
        <v>0</v>
      </c>
      <c r="Q3" s="86">
        <f ca="1">SUMIFS($D$16:$D$35, $G$16:$G$35, $O3, $A$16:$A$35, "&lt;="&amp;_xlfn.SHEET()-1&amp;"/"&amp;Annual!$H$31&amp;"/"&amp;Annual!$J$41)+SUMIFS(November!$D$16:$D$35, November!$G$16:$G$35, $O3, November!$A$16:$A$35, "&gt;"&amp;_xlfn.SHEET()-2&amp;"/"&amp;Annual!$H$31&amp;"/"&amp;Annual!$J$41)</f>
        <v>0</v>
      </c>
      <c r="R3" s="84">
        <f ca="1">SUMIFS($D$16:$D$35, $G$16:$G$35, $O3, $A$16:$A$35, "&gt;"&amp;_xlfn.SHEET()-1&amp;"/"&amp;Annual!$H$31&amp;"/"&amp;Annual!$J$41)</f>
        <v>0</v>
      </c>
    </row>
    <row r="4" spans="1:18" x14ac:dyDescent="0.25">
      <c r="A4" s="68"/>
      <c r="B4" s="26">
        <f>COUNT($B$3:$B3)+1</f>
        <v>2</v>
      </c>
      <c r="C4" s="51"/>
      <c r="D4" s="35"/>
      <c r="E4" s="49"/>
      <c r="F4" s="5"/>
      <c r="G4" s="42" t="str">
        <f>IF(Annual!$A18 &lt;&gt; "", Annual!$A18, "")</f>
        <v/>
      </c>
      <c r="H4" s="19"/>
      <c r="I4" s="43">
        <f t="shared" si="0"/>
        <v>0</v>
      </c>
      <c r="J4" s="46">
        <f>IF($H4 = 0, 0, $H4-$I4)</f>
        <v>0</v>
      </c>
      <c r="K4" s="82" t="str">
        <f>IF(Annual!$A32 &lt;&gt; "", Annual!$A32, "")</f>
        <v/>
      </c>
      <c r="L4" s="94">
        <f>November!$N4</f>
        <v>0</v>
      </c>
      <c r="M4" s="43">
        <f>SUMIF($E$3:$E$12, $K4, $D$3:$D$12)-SUMIF($C$3:$C$12, $K4, $D$3:$D$12)-SUMIF($G$16:$G$35, $K4, $D$16:$D$35)-SUMIF(Annual!$I$31:$I$40, $K4, $P$3:$P$12)</f>
        <v>0</v>
      </c>
      <c r="N4" s="46">
        <f t="shared" ref="N4:N11" si="2">$L4+$M4</f>
        <v>0</v>
      </c>
      <c r="O4" s="82" t="str">
        <f>IF(Annual!$F32 &lt;&gt; "", Annual!$F32, "")</f>
        <v/>
      </c>
      <c r="P4" s="91">
        <f t="shared" si="1"/>
        <v>0</v>
      </c>
      <c r="Q4" s="86">
        <f ca="1">SUMIFS($D$16:$D$35, $G$16:$G$35, $O4, $A$16:$A$35, "&lt;="&amp;_xlfn.SHEET()-1&amp;"/"&amp;Annual!$H$32&amp;"/"&amp;Annual!$J$41)+SUMIFS(November!$D$16:$D$35, November!$G$16:$G$35, $O4, November!$A$16:$A$35, "&gt;"&amp;_xlfn.SHEET()-2&amp;"/"&amp;Annual!$H$32&amp;"/"&amp;Annual!$J$41)</f>
        <v>0</v>
      </c>
      <c r="R4" s="84">
        <f ca="1">SUMIFS($D$16:$D$35, $G$16:$G$35, $O4, $A$16:$A$35, "&gt;"&amp;_xlfn.SHEET()-1&amp;"/"&amp;Annual!$H$32&amp;"/"&amp;Annual!$J$41)</f>
        <v>0</v>
      </c>
    </row>
    <row r="5" spans="1:18" x14ac:dyDescent="0.25">
      <c r="A5" s="68"/>
      <c r="B5" s="26">
        <f>COUNT($B$3:$B4)+1</f>
        <v>3</v>
      </c>
      <c r="C5" s="51"/>
      <c r="D5" s="35"/>
      <c r="E5" s="49"/>
      <c r="F5" s="5"/>
      <c r="G5" s="42" t="str">
        <f>IF(Annual!$A19 &lt;&gt; "", Annual!$A19, "")</f>
        <v/>
      </c>
      <c r="H5" s="19"/>
      <c r="I5" s="43">
        <f t="shared" si="0"/>
        <v>0</v>
      </c>
      <c r="J5" s="46">
        <f t="shared" ref="J5:J12" si="3">IF($H5 = 0, 0, $H5-$I5)</f>
        <v>0</v>
      </c>
      <c r="K5" s="82" t="str">
        <f>IF(Annual!$A33 &lt;&gt; "", Annual!$A33, "")</f>
        <v/>
      </c>
      <c r="L5" s="94">
        <f>November!$N5</f>
        <v>0</v>
      </c>
      <c r="M5" s="43">
        <f>SUMIF($E$3:$E$12, $K5, $D$3:$D$12)-SUMIF($C$3:$C$12, $K5, $D$3:$D$12)-SUMIF($G$16:$G$35, $K5, $D$16:$D$35)-SUMIF(Annual!$I$31:$I$40, $K5, $P$3:$P$12)</f>
        <v>0</v>
      </c>
      <c r="N5" s="46">
        <f t="shared" si="2"/>
        <v>0</v>
      </c>
      <c r="O5" s="82" t="str">
        <f>IF(Annual!$F33 &lt;&gt; "", Annual!$F33, "")</f>
        <v/>
      </c>
      <c r="P5" s="91">
        <f t="shared" si="1"/>
        <v>0</v>
      </c>
      <c r="Q5" s="86">
        <f ca="1">SUMIFS($D$16:$D$35, $G$16:$G$35, $O5, $A$16:$A$35, "&lt;="&amp;_xlfn.SHEET()-1&amp;"/"&amp;Annual!$H$33&amp;"/"&amp;Annual!$J$41)+SUMIFS(November!$D$16:$D$35, November!$G$16:$G$35, $O5, November!$A$16:$A$35, "&gt;"&amp;_xlfn.SHEET()-2&amp;"/"&amp;Annual!$H$33&amp;"/"&amp;Annual!$J$41)</f>
        <v>0</v>
      </c>
      <c r="R5" s="84">
        <f ca="1">SUMIFS($D$16:$D$35, $G$16:$G$35, $O5, $A$16:$A$35, "&gt;"&amp;_xlfn.SHEET()-1&amp;"/"&amp;Annual!$H$33&amp;"/"&amp;Annual!$J$41)</f>
        <v>0</v>
      </c>
    </row>
    <row r="6" spans="1:18" x14ac:dyDescent="0.25">
      <c r="A6" s="68"/>
      <c r="B6" s="26">
        <f>COUNT($B$3:$B5)+1</f>
        <v>4</v>
      </c>
      <c r="C6" s="51"/>
      <c r="D6" s="35"/>
      <c r="E6" s="49"/>
      <c r="F6" s="5"/>
      <c r="G6" s="42" t="str">
        <f>IF(Annual!$A20 &lt;&gt; "", Annual!$A20, "")</f>
        <v/>
      </c>
      <c r="H6" s="19"/>
      <c r="I6" s="43">
        <f t="shared" si="0"/>
        <v>0</v>
      </c>
      <c r="J6" s="46">
        <f t="shared" si="3"/>
        <v>0</v>
      </c>
      <c r="K6" s="82" t="str">
        <f>IF(Annual!$A34 &lt;&gt; "", Annual!$A34, "")</f>
        <v/>
      </c>
      <c r="L6" s="94">
        <f>November!$N6</f>
        <v>0</v>
      </c>
      <c r="M6" s="43">
        <f>SUMIF($E$3:$E$12, $K6, $D$3:$D$12)-SUMIF($C$3:$C$12, $K6, $D$3:$D$12)-SUMIF($G$16:$G$35, $K6, $D$16:$D$35)-SUMIF(Annual!$I$31:$I$40, $K6, $P$3:$P$12)</f>
        <v>0</v>
      </c>
      <c r="N6" s="46">
        <f t="shared" si="2"/>
        <v>0</v>
      </c>
      <c r="O6" s="82" t="str">
        <f>IF(Annual!$F34 &lt;&gt; "", Annual!$F34, "")</f>
        <v/>
      </c>
      <c r="P6" s="91">
        <f t="shared" si="1"/>
        <v>0</v>
      </c>
      <c r="Q6" s="86">
        <f ca="1">SUMIFS($D$16:$D$35, $G$16:$G$35, $O6, $A$16:$A$35, "&lt;="&amp;_xlfn.SHEET()-1&amp;"/"&amp;Annual!$H$34&amp;"/"&amp;Annual!$J$41)+SUMIFS(November!$D$16:$D$35, November!$G$16:$G$35, $O6, November!$A$16:$A$35, "&gt;"&amp;_xlfn.SHEET()-2&amp;"/"&amp;Annual!$H$34&amp;"/"&amp;Annual!$J$41)</f>
        <v>0</v>
      </c>
      <c r="R6" s="84">
        <f ca="1">SUMIFS($D$16:$D$35, $G$16:$G$35, $O6, $A$16:$A$35, "&gt;"&amp;_xlfn.SHEET()-1&amp;"/"&amp;Annual!$H$34&amp;"/"&amp;Annual!$J$41)</f>
        <v>0</v>
      </c>
    </row>
    <row r="7" spans="1:18" x14ac:dyDescent="0.25">
      <c r="A7" s="68"/>
      <c r="B7" s="26">
        <f>COUNT($B$3:$B6)+1</f>
        <v>5</v>
      </c>
      <c r="C7" s="51"/>
      <c r="D7" s="35"/>
      <c r="E7" s="49"/>
      <c r="F7" s="5"/>
      <c r="G7" s="42" t="str">
        <f>IF(Annual!$A21 &lt;&gt; "", Annual!$A21, "")</f>
        <v/>
      </c>
      <c r="H7" s="19"/>
      <c r="I7" s="43">
        <f t="shared" si="0"/>
        <v>0</v>
      </c>
      <c r="J7" s="46">
        <f t="shared" si="3"/>
        <v>0</v>
      </c>
      <c r="K7" s="82" t="str">
        <f>IF(Annual!$A35 &lt;&gt; "", Annual!$A35, "")</f>
        <v/>
      </c>
      <c r="L7" s="94">
        <f>November!$N7</f>
        <v>0</v>
      </c>
      <c r="M7" s="43">
        <f>SUMIF($E$3:$E$12, $K7, $D$3:$D$12)-SUMIF($C$3:$C$12, $K7, $D$3:$D$12)-SUMIF($G$16:$G$35, $K7, $D$16:$D$35)-SUMIF(Annual!$I$31:$I$40, $K7, $P$3:$P$12)</f>
        <v>0</v>
      </c>
      <c r="N7" s="46">
        <f t="shared" si="2"/>
        <v>0</v>
      </c>
      <c r="O7" s="82" t="str">
        <f>IF(Annual!$F35 &lt;&gt; "", Annual!$F35, "")</f>
        <v/>
      </c>
      <c r="P7" s="91">
        <f t="shared" si="1"/>
        <v>0</v>
      </c>
      <c r="Q7" s="86">
        <f ca="1">SUMIFS($D$16:$D$35, $G$16:$G$35, $O7, $A$16:$A$35, "&lt;="&amp;_xlfn.SHEET()-1&amp;"/"&amp;Annual!$H$35&amp;"/"&amp;Annual!$J$41)+SUMIFS(November!$D$16:$D$35, November!$G$16:$G$35, $O7, November!$A$16:$A$35, "&gt;"&amp;_xlfn.SHEET()-2&amp;"/"&amp;Annual!$H$35&amp;"/"&amp;Annual!$J$41)</f>
        <v>0</v>
      </c>
      <c r="R7" s="84">
        <f ca="1">SUMIFS($D$16:$D$35, $G$16:$G$35, $O7, $A$16:$A$35, "&gt;"&amp;_xlfn.SHEET()-1&amp;"/"&amp;Annual!$H$35&amp;"/"&amp;Annual!$J$41)</f>
        <v>0</v>
      </c>
    </row>
    <row r="8" spans="1:18" x14ac:dyDescent="0.25">
      <c r="A8" s="68"/>
      <c r="B8" s="26">
        <f>COUNT($B$3:$B7)+1</f>
        <v>6</v>
      </c>
      <c r="C8" s="51"/>
      <c r="D8" s="35"/>
      <c r="E8" s="49"/>
      <c r="F8" s="5"/>
      <c r="G8" s="42" t="str">
        <f>IF(Annual!$A22 &lt;&gt; "", Annual!$A22, "")</f>
        <v/>
      </c>
      <c r="H8" s="19"/>
      <c r="I8" s="43">
        <f t="shared" si="0"/>
        <v>0</v>
      </c>
      <c r="J8" s="46">
        <f t="shared" si="3"/>
        <v>0</v>
      </c>
      <c r="K8" s="82" t="str">
        <f>IF(Annual!$A36 &lt;&gt; "", Annual!$A36, "")</f>
        <v/>
      </c>
      <c r="L8" s="94">
        <f>November!$N8</f>
        <v>0</v>
      </c>
      <c r="M8" s="43">
        <f>SUMIF($E$3:$E$12, $K8, $D$3:$D$12)-SUMIF($C$3:$C$12, $K8, $D$3:$D$12)-SUMIF($G$16:$G$35, $K8, $D$16:$D$35)-SUMIF(Annual!$I$31:$I$40, $K8, $P$3:$P$12)</f>
        <v>0</v>
      </c>
      <c r="N8" s="46">
        <f t="shared" si="2"/>
        <v>0</v>
      </c>
      <c r="O8" s="82" t="str">
        <f>IF(Annual!$F36 &lt;&gt; "", Annual!$F36, "")</f>
        <v/>
      </c>
      <c r="P8" s="91">
        <f t="shared" si="1"/>
        <v>0</v>
      </c>
      <c r="Q8" s="86">
        <f ca="1">SUMIFS($D$16:$D$35, $G$16:$G$35, $O8, $A$16:$A$35, "&lt;="&amp;_xlfn.SHEET()-1&amp;"/"&amp;Annual!$H$36&amp;"/"&amp;Annual!$J$41)+SUMIFS(November!$D$16:$D$35, November!$G$16:$G$35, $O8, November!$A$16:$A$35, "&gt;"&amp;_xlfn.SHEET()-2&amp;"/"&amp;Annual!$H$36&amp;"/"&amp;Annual!$J$41)</f>
        <v>0</v>
      </c>
      <c r="R8" s="84">
        <f ca="1">SUMIFS($D$16:$D$35, $G$16:$G$35, $O8, $A$16:$A$35, "&gt;"&amp;_xlfn.SHEET()-1&amp;"/"&amp;Annual!$H$36&amp;"/"&amp;Annual!$J$41)</f>
        <v>0</v>
      </c>
    </row>
    <row r="9" spans="1:18" x14ac:dyDescent="0.25">
      <c r="A9" s="68"/>
      <c r="B9" s="26">
        <f>COUNT($B$3:$B8)+1</f>
        <v>7</v>
      </c>
      <c r="C9" s="51"/>
      <c r="D9" s="35"/>
      <c r="E9" s="49"/>
      <c r="F9" s="5"/>
      <c r="G9" s="42" t="str">
        <f>IF(Annual!$A23 &lt;&gt; "", Annual!$A23, "")</f>
        <v/>
      </c>
      <c r="H9" s="19"/>
      <c r="I9" s="43">
        <f t="shared" si="0"/>
        <v>0</v>
      </c>
      <c r="J9" s="46">
        <f t="shared" si="3"/>
        <v>0</v>
      </c>
      <c r="K9" s="82" t="str">
        <f>IF(Annual!$A37 &lt;&gt; "", Annual!$A37, "")</f>
        <v/>
      </c>
      <c r="L9" s="94">
        <f>November!$N9</f>
        <v>0</v>
      </c>
      <c r="M9" s="43">
        <f>SUMIF($E$3:$E$12, $K9, $D$3:$D$12)-SUMIF($C$3:$C$12, $K9, $D$3:$D$12)-SUMIF($G$16:$G$35, $K9, $D$16:$D$35)-SUMIF(Annual!$I$31:$I$40, $K9, $P$3:$P$12)</f>
        <v>0</v>
      </c>
      <c r="N9" s="46">
        <f t="shared" si="2"/>
        <v>0</v>
      </c>
      <c r="O9" s="82" t="str">
        <f>IF(Annual!$F37 &lt;&gt; "", Annual!$F37, "")</f>
        <v/>
      </c>
      <c r="P9" s="91">
        <f t="shared" si="1"/>
        <v>0</v>
      </c>
      <c r="Q9" s="86">
        <f ca="1">SUMIFS($D$16:$D$35, $G$16:$G$35, $O9, $A$16:$A$35, "&lt;="&amp;_xlfn.SHEET()-1&amp;"/"&amp;Annual!$H$37&amp;"/"&amp;Annual!$J$41)+SUMIFS(November!$D$16:$D$35, November!$G$16:$G$35, $O9, November!$A$16:$A$35, "&gt;"&amp;_xlfn.SHEET()-2&amp;"/"&amp;Annual!$H$37&amp;"/"&amp;Annual!$J$41)</f>
        <v>0</v>
      </c>
      <c r="R9" s="84">
        <f ca="1">SUMIFS($D$16:$D$35, $G$16:$G$35, $O9, $A$16:$A$35, "&gt;"&amp;_xlfn.SHEET()-1&amp;"/"&amp;Annual!$H$37&amp;"/"&amp;Annual!$J$41)</f>
        <v>0</v>
      </c>
    </row>
    <row r="10" spans="1:18" x14ac:dyDescent="0.25">
      <c r="A10" s="68"/>
      <c r="B10" s="26">
        <f>COUNT($B$3:$B9)+1</f>
        <v>8</v>
      </c>
      <c r="C10" s="51"/>
      <c r="D10" s="35"/>
      <c r="E10" s="49"/>
      <c r="F10" s="5"/>
      <c r="G10" s="42" t="str">
        <f>IF(Annual!$A24 &lt;&gt; "", Annual!$A24, "")</f>
        <v/>
      </c>
      <c r="H10" s="19"/>
      <c r="I10" s="43">
        <f t="shared" si="0"/>
        <v>0</v>
      </c>
      <c r="J10" s="46">
        <f t="shared" si="3"/>
        <v>0</v>
      </c>
      <c r="K10" s="82" t="str">
        <f>IF(Annual!$A38 &lt;&gt; "", Annual!$A38, "")</f>
        <v/>
      </c>
      <c r="L10" s="94">
        <f>November!$N10</f>
        <v>0</v>
      </c>
      <c r="M10" s="43">
        <f>SUMIF($E$3:$E$12, $K10, $D$3:$D$12)-SUMIF($C$3:$C$12, $K10, $D$3:$D$12)-SUMIF($G$16:$G$35, $K10, $D$16:$D$35)-SUMIF(Annual!$I$31:$I$40, $K10, $P$3:$P$12)</f>
        <v>0</v>
      </c>
      <c r="N10" s="46">
        <f t="shared" si="2"/>
        <v>0</v>
      </c>
      <c r="O10" s="82" t="str">
        <f>IF(Annual!$F38 &lt;&gt; "", Annual!$F38, "")</f>
        <v/>
      </c>
      <c r="P10" s="91">
        <f t="shared" si="1"/>
        <v>0</v>
      </c>
      <c r="Q10" s="86">
        <f ca="1">SUMIFS($D$16:$D$35, $G$16:$G$35, $O10, $A$16:$A$35, "&lt;="&amp;_xlfn.SHEET()-1&amp;"/"&amp;Annual!$H$38&amp;"/"&amp;Annual!$J$41)+SUMIFS(November!$D$16:$D$35, November!$G$16:$G$35, $O10, November!$A$16:$A$35, "&gt;"&amp;_xlfn.SHEET()-2&amp;"/"&amp;Annual!$H$38&amp;"/"&amp;Annual!$J$41)</f>
        <v>0</v>
      </c>
      <c r="R10" s="84">
        <f ca="1">SUMIFS($D$16:$D$35, $G$16:$G$35, $O10, $A$16:$A$35, "&gt;"&amp;_xlfn.SHEET()-1&amp;"/"&amp;Annual!$H$38&amp;"/"&amp;Annual!$J$41)</f>
        <v>0</v>
      </c>
    </row>
    <row r="11" spans="1:18" x14ac:dyDescent="0.25">
      <c r="A11" s="68"/>
      <c r="B11" s="26">
        <f>COUNT($B$3:$B10)+1</f>
        <v>9</v>
      </c>
      <c r="C11" s="51"/>
      <c r="D11" s="35"/>
      <c r="E11" s="49"/>
      <c r="F11" s="5"/>
      <c r="G11" s="42" t="str">
        <f>IF(Annual!$A25 &lt;&gt; "", Annual!$A25, "")</f>
        <v/>
      </c>
      <c r="H11" s="19"/>
      <c r="I11" s="43">
        <f t="shared" si="0"/>
        <v>0</v>
      </c>
      <c r="J11" s="46">
        <f t="shared" si="3"/>
        <v>0</v>
      </c>
      <c r="K11" s="82" t="str">
        <f>IF(Annual!$A39 &lt;&gt; "", Annual!$A39, "")</f>
        <v/>
      </c>
      <c r="L11" s="94">
        <f>November!$N11</f>
        <v>0</v>
      </c>
      <c r="M11" s="43">
        <f>SUMIF($E$3:$E$12, $K11, $D$3:$D$12)-SUMIF($C$3:$C$12, $K11, $D$3:$D$12)-SUMIF($G$16:$G$35, $K11, $D$16:$D$35)-SUMIF(Annual!$I$31:$I$40, $K11, $P$3:$P$12)</f>
        <v>0</v>
      </c>
      <c r="N11" s="46">
        <f t="shared" si="2"/>
        <v>0</v>
      </c>
      <c r="O11" s="82" t="str">
        <f>IF(Annual!$F39 &lt;&gt; "", Annual!$F39, "")</f>
        <v/>
      </c>
      <c r="P11" s="91">
        <f t="shared" si="1"/>
        <v>0</v>
      </c>
      <c r="Q11" s="86">
        <f ca="1">SUMIFS($D$16:$D$35, $G$16:$G$35, $O11, $A$16:$A$35, "&lt;="&amp;_xlfn.SHEET()-1&amp;"/"&amp;Annual!$H$39&amp;"/"&amp;Annual!$J$41)+SUMIFS(November!$D$16:$D$35, November!$G$16:$G$35, $O11, November!$A$16:$A$35, "&gt;"&amp;_xlfn.SHEET()-2&amp;"/"&amp;Annual!$H$39&amp;"/"&amp;Annual!$J$41)</f>
        <v>0</v>
      </c>
      <c r="R11" s="84">
        <f ca="1">SUMIFS($D$16:$D$35, $G$16:$G$35, $O11, $A$16:$A$35, "&gt;"&amp;_xlfn.SHEET()-1&amp;"/"&amp;Annual!$H$39&amp;"/"&amp;Annual!$J$41)</f>
        <v>0</v>
      </c>
    </row>
    <row r="12" spans="1:18" ht="15.75" thickBot="1" x14ac:dyDescent="0.3">
      <c r="A12" s="69"/>
      <c r="B12" s="26">
        <f>COUNT($B$3:$B11)+1</f>
        <v>10</v>
      </c>
      <c r="C12" s="65"/>
      <c r="D12" s="35"/>
      <c r="E12" s="49"/>
      <c r="F12" s="5"/>
      <c r="G12" s="42" t="str">
        <f>IF(Annual!$A26 &lt;&gt; "", Annual!$A26, "")</f>
        <v/>
      </c>
      <c r="H12" s="19"/>
      <c r="I12" s="43">
        <f t="shared" si="0"/>
        <v>0</v>
      </c>
      <c r="J12" s="46">
        <f t="shared" si="3"/>
        <v>0</v>
      </c>
      <c r="K12" s="82" t="str">
        <f>IF(Annual!$A40 &lt;&gt; "", Annual!$A40, "")</f>
        <v/>
      </c>
      <c r="L12" s="94">
        <f>November!$N12</f>
        <v>0</v>
      </c>
      <c r="M12" s="43">
        <f>SUMIF($E$3:$E$12, $K12, $D$3:$D$12)-SUMIF($C$3:$C$12, $K12, $D$3:$D$12)-SUMIF($G$16:$G$35, $K12, $D$16:$D$35)-SUMIF(Annual!$I$31:$I$40, $K12, $P$3:$P$12)</f>
        <v>0</v>
      </c>
      <c r="N12" s="46">
        <f>$L12+$M12</f>
        <v>0</v>
      </c>
      <c r="O12" s="82" t="str">
        <f>IF(Annual!$F40 &lt;&gt; "", Annual!$F40, "")</f>
        <v/>
      </c>
      <c r="P12" s="91">
        <f t="shared" si="1"/>
        <v>0</v>
      </c>
      <c r="Q12" s="86">
        <f ca="1">SUMIFS($D$16:$D$35, $G$16:$G$35, $O12, $A$16:$A$35, "&lt;="&amp;_xlfn.SHEET()-1&amp;"/"&amp;Annual!$H$40&amp;"/"&amp;Annual!$J$41)+SUMIFS(November!$D$16:$D$35, November!$G$16:$G$35, $O12, November!$A$16:$A$35, "&gt;"&amp;_xlfn.SHEET()-2&amp;"/"&amp;Annual!$H$40&amp;"/"&amp;Annual!$J$41)</f>
        <v>0</v>
      </c>
      <c r="R12" s="84">
        <f ca="1">SUMIFS($D$16:$D$35, $G$16:$G$35, $O12, $A$16:$A$35, "&gt;"&amp;_xlfn.SHEET()-1&amp;"/"&amp;Annual!$H$40&amp;"/"&amp;Annual!$J$41)</f>
        <v>0</v>
      </c>
    </row>
    <row r="13" spans="1:18" ht="16.5" thickBot="1" x14ac:dyDescent="0.3">
      <c r="A13" s="132" t="s">
        <v>13</v>
      </c>
      <c r="B13" s="133"/>
      <c r="C13" s="133"/>
      <c r="D13" s="160">
        <f>$M$13+$C$36</f>
        <v>0</v>
      </c>
      <c r="E13" s="161"/>
      <c r="F13" s="162"/>
      <c r="G13" s="36" t="s">
        <v>13</v>
      </c>
      <c r="H13" s="38">
        <f>SUM($H3:$H12)</f>
        <v>0</v>
      </c>
      <c r="I13" s="38">
        <f>SUM($I3:$I12)</f>
        <v>0</v>
      </c>
      <c r="J13" s="30">
        <f>IF($H13 = 0, 0, $H13-$I13)</f>
        <v>0</v>
      </c>
      <c r="K13" s="81" t="s">
        <v>13</v>
      </c>
      <c r="L13" s="80">
        <f>SUM($L3:$L12)</f>
        <v>0</v>
      </c>
      <c r="M13" s="38">
        <f>SUM($M3:$M12)</f>
        <v>0</v>
      </c>
      <c r="N13" s="30">
        <f>$L13+$M13</f>
        <v>0</v>
      </c>
      <c r="O13" s="81" t="s">
        <v>13</v>
      </c>
      <c r="P13" s="93">
        <f>SUM($P3:$P12)</f>
        <v>0</v>
      </c>
      <c r="Q13" s="87">
        <f ca="1">SUM($Q3:$Q12)</f>
        <v>0</v>
      </c>
      <c r="R13" s="83">
        <f ca="1">SUM($R3:$R12)</f>
        <v>0</v>
      </c>
    </row>
    <row r="14" spans="1:18" ht="16.5" thickBot="1" x14ac:dyDescent="0.3">
      <c r="A14" s="58" t="s">
        <v>29</v>
      </c>
      <c r="B14" s="59"/>
      <c r="C14" s="60"/>
      <c r="D14" s="34"/>
      <c r="E14" s="34"/>
      <c r="F14" s="14"/>
      <c r="G14" s="41"/>
      <c r="H14" s="41"/>
    </row>
    <row r="15" spans="1:18" ht="16.5" thickBot="1" x14ac:dyDescent="0.3">
      <c r="A15" s="31" t="s">
        <v>23</v>
      </c>
      <c r="B15" s="129" t="s">
        <v>27</v>
      </c>
      <c r="C15" s="16" t="s">
        <v>24</v>
      </c>
      <c r="D15" s="16" t="s">
        <v>26</v>
      </c>
      <c r="E15" s="134" t="s">
        <v>25</v>
      </c>
      <c r="F15" s="134"/>
      <c r="G15" s="4" t="s">
        <v>35</v>
      </c>
    </row>
    <row r="16" spans="1:18" x14ac:dyDescent="0.25">
      <c r="A16" s="66"/>
      <c r="B16" s="12">
        <v>1</v>
      </c>
      <c r="C16" s="22"/>
      <c r="D16" s="28"/>
      <c r="E16" s="163"/>
      <c r="F16" s="164"/>
      <c r="G16" s="3"/>
    </row>
    <row r="17" spans="1:7" x14ac:dyDescent="0.25">
      <c r="A17" s="70"/>
      <c r="B17" s="71">
        <f>COUNT($B$16:$B16)+1</f>
        <v>2</v>
      </c>
      <c r="C17" s="72"/>
      <c r="D17" s="29"/>
      <c r="E17" s="153"/>
      <c r="F17" s="154"/>
      <c r="G17" s="3"/>
    </row>
    <row r="18" spans="1:7" x14ac:dyDescent="0.25">
      <c r="A18" s="70"/>
      <c r="B18" s="71">
        <f>COUNT($B$16:$B17)+1</f>
        <v>3</v>
      </c>
      <c r="C18" s="72"/>
      <c r="D18" s="29"/>
      <c r="E18" s="153"/>
      <c r="F18" s="154"/>
      <c r="G18" s="3"/>
    </row>
    <row r="19" spans="1:7" x14ac:dyDescent="0.25">
      <c r="A19" s="70"/>
      <c r="B19" s="71">
        <f>COUNT($B$16:$B18)+1</f>
        <v>4</v>
      </c>
      <c r="C19" s="72"/>
      <c r="D19" s="29"/>
      <c r="E19" s="153"/>
      <c r="F19" s="154"/>
      <c r="G19" s="3"/>
    </row>
    <row r="20" spans="1:7" x14ac:dyDescent="0.25">
      <c r="A20" s="70"/>
      <c r="B20" s="71">
        <f>COUNT($B$16:$B19)+1</f>
        <v>5</v>
      </c>
      <c r="C20" s="72"/>
      <c r="D20" s="29"/>
      <c r="E20" s="153"/>
      <c r="F20" s="154"/>
      <c r="G20" s="3"/>
    </row>
    <row r="21" spans="1:7" x14ac:dyDescent="0.25">
      <c r="A21" s="70"/>
      <c r="B21" s="71">
        <f>COUNT($B$16:$B20)+1</f>
        <v>6</v>
      </c>
      <c r="C21" s="72"/>
      <c r="D21" s="29"/>
      <c r="E21" s="153"/>
      <c r="F21" s="154"/>
      <c r="G21" s="3"/>
    </row>
    <row r="22" spans="1:7" x14ac:dyDescent="0.25">
      <c r="A22" s="70"/>
      <c r="B22" s="71">
        <f>COUNT($B$16:$B21)+1</f>
        <v>7</v>
      </c>
      <c r="C22" s="72"/>
      <c r="D22" s="29"/>
      <c r="E22" s="153"/>
      <c r="F22" s="154"/>
      <c r="G22" s="3"/>
    </row>
    <row r="23" spans="1:7" x14ac:dyDescent="0.25">
      <c r="A23" s="70"/>
      <c r="B23" s="71">
        <f>COUNT($B$16:$B22)+1</f>
        <v>8</v>
      </c>
      <c r="C23" s="72"/>
      <c r="D23" s="29"/>
      <c r="E23" s="153"/>
      <c r="F23" s="154"/>
      <c r="G23" s="3"/>
    </row>
    <row r="24" spans="1:7" x14ac:dyDescent="0.25">
      <c r="A24" s="70"/>
      <c r="B24" s="71">
        <f>COUNT($B$16:$B23)+1</f>
        <v>9</v>
      </c>
      <c r="C24" s="72"/>
      <c r="D24" s="29"/>
      <c r="E24" s="153"/>
      <c r="F24" s="154"/>
      <c r="G24" s="3"/>
    </row>
    <row r="25" spans="1:7" x14ac:dyDescent="0.25">
      <c r="A25" s="70"/>
      <c r="B25" s="71">
        <f>COUNT($B$16:$B24)+1</f>
        <v>10</v>
      </c>
      <c r="C25" s="72"/>
      <c r="D25" s="29"/>
      <c r="E25" s="153"/>
      <c r="F25" s="154"/>
      <c r="G25" s="3"/>
    </row>
    <row r="26" spans="1:7" x14ac:dyDescent="0.25">
      <c r="A26" s="70"/>
      <c r="B26" s="71">
        <f>COUNT($B$16:$B25)+1</f>
        <v>11</v>
      </c>
      <c r="C26" s="72"/>
      <c r="D26" s="29"/>
      <c r="E26" s="153"/>
      <c r="F26" s="154"/>
      <c r="G26" s="3"/>
    </row>
    <row r="27" spans="1:7" x14ac:dyDescent="0.25">
      <c r="A27" s="70"/>
      <c r="B27" s="71">
        <f>COUNT($B$16:$B26)+1</f>
        <v>12</v>
      </c>
      <c r="C27" s="72"/>
      <c r="D27" s="29"/>
      <c r="E27" s="153"/>
      <c r="F27" s="154"/>
      <c r="G27" s="3"/>
    </row>
    <row r="28" spans="1:7" x14ac:dyDescent="0.25">
      <c r="A28" s="70"/>
      <c r="B28" s="71">
        <f>COUNT($B$16:$B27)+1</f>
        <v>13</v>
      </c>
      <c r="C28" s="72"/>
      <c r="D28" s="29"/>
      <c r="E28" s="153"/>
      <c r="F28" s="154"/>
      <c r="G28" s="3"/>
    </row>
    <row r="29" spans="1:7" x14ac:dyDescent="0.25">
      <c r="A29" s="70"/>
      <c r="B29" s="71">
        <f>COUNT($B$16:$B28)+1</f>
        <v>14</v>
      </c>
      <c r="C29" s="72"/>
      <c r="D29" s="29"/>
      <c r="E29" s="153"/>
      <c r="F29" s="154"/>
      <c r="G29" s="3"/>
    </row>
    <row r="30" spans="1:7" x14ac:dyDescent="0.25">
      <c r="A30" s="70"/>
      <c r="B30" s="71">
        <f>COUNT($B$16:$B29)+1</f>
        <v>15</v>
      </c>
      <c r="C30" s="72"/>
      <c r="D30" s="29"/>
      <c r="E30" s="153"/>
      <c r="F30" s="154"/>
      <c r="G30" s="3"/>
    </row>
    <row r="31" spans="1:7" x14ac:dyDescent="0.25">
      <c r="A31" s="70"/>
      <c r="B31" s="71">
        <f>COUNT($B$16:$B30)+1</f>
        <v>16</v>
      </c>
      <c r="C31" s="72"/>
      <c r="D31" s="29"/>
      <c r="E31" s="153"/>
      <c r="F31" s="154"/>
      <c r="G31" s="3"/>
    </row>
    <row r="32" spans="1:7" x14ac:dyDescent="0.25">
      <c r="A32" s="70"/>
      <c r="B32" s="71">
        <f>COUNT($B$16:$B31)+1</f>
        <v>17</v>
      </c>
      <c r="C32" s="72"/>
      <c r="D32" s="29"/>
      <c r="E32" s="153"/>
      <c r="F32" s="154"/>
      <c r="G32" s="3"/>
    </row>
    <row r="33" spans="1:7" x14ac:dyDescent="0.25">
      <c r="A33" s="70"/>
      <c r="B33" s="71">
        <f>COUNT($B$16:$B32)+1</f>
        <v>18</v>
      </c>
      <c r="C33" s="72"/>
      <c r="D33" s="29"/>
      <c r="E33" s="153"/>
      <c r="F33" s="154"/>
      <c r="G33" s="3"/>
    </row>
    <row r="34" spans="1:7" x14ac:dyDescent="0.25">
      <c r="A34" s="70"/>
      <c r="B34" s="71">
        <f>COUNT($B$16:$B33)+1</f>
        <v>19</v>
      </c>
      <c r="C34" s="72"/>
      <c r="D34" s="29"/>
      <c r="E34" s="153"/>
      <c r="F34" s="154"/>
      <c r="G34" s="3"/>
    </row>
    <row r="35" spans="1:7" ht="15.75" thickBot="1" x14ac:dyDescent="0.3">
      <c r="A35" s="70"/>
      <c r="B35" s="71">
        <f>COUNT($B$16:$B34)+1</f>
        <v>20</v>
      </c>
      <c r="C35" s="72"/>
      <c r="D35" s="29"/>
      <c r="E35" s="153"/>
      <c r="F35" s="154"/>
      <c r="G35" s="3"/>
    </row>
    <row r="36" spans="1:7" ht="16.5" thickBot="1" x14ac:dyDescent="0.3">
      <c r="A36" s="155" t="s">
        <v>13</v>
      </c>
      <c r="B36" s="156"/>
      <c r="C36" s="157">
        <f>SUM($D16:$D35)</f>
        <v>0</v>
      </c>
      <c r="D36" s="158"/>
      <c r="E36" s="158"/>
      <c r="F36" s="158"/>
      <c r="G36" s="159"/>
    </row>
  </sheetData>
  <mergeCells count="25">
    <mergeCell ref="E21:F21"/>
    <mergeCell ref="A36:B36"/>
    <mergeCell ref="C36:G36"/>
    <mergeCell ref="E33:F33"/>
    <mergeCell ref="E34:F34"/>
    <mergeCell ref="E35:F35"/>
    <mergeCell ref="E27:F27"/>
    <mergeCell ref="E28:F28"/>
    <mergeCell ref="E29:F29"/>
    <mergeCell ref="A13:C13"/>
    <mergeCell ref="D13:F13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5:F25"/>
    <mergeCell ref="E22:F22"/>
    <mergeCell ref="E23:F23"/>
    <mergeCell ref="E24:F24"/>
    <mergeCell ref="E26:F26"/>
  </mergeCells>
  <conditionalFormatting sqref="M3:M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3:J13">
    <cfRule type="cellIs" dxfId="1" priority="6" operator="greaterThan">
      <formula>0</formula>
    </cfRule>
    <cfRule type="cellIs" dxfId="0" priority="7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3:J45"/>
  <sheetViews>
    <sheetView workbookViewId="0">
      <selection activeCell="X9" sqref="X9"/>
    </sheetView>
  </sheetViews>
  <sheetFormatPr defaultRowHeight="15" x14ac:dyDescent="0.25"/>
  <sheetData>
    <row r="13" spans="1:3" x14ac:dyDescent="0.25">
      <c r="A13" s="73"/>
      <c r="B13" s="73"/>
      <c r="C13" s="73"/>
    </row>
    <row r="14" spans="1:3" x14ac:dyDescent="0.25">
      <c r="A14" s="73"/>
      <c r="B14" s="73"/>
      <c r="C14" s="73"/>
    </row>
    <row r="29" spans="1:3" x14ac:dyDescent="0.25">
      <c r="A29" s="73"/>
      <c r="B29" s="73"/>
      <c r="C29" s="73"/>
    </row>
    <row r="30" spans="1:3" x14ac:dyDescent="0.25">
      <c r="A30" s="73"/>
      <c r="B30" s="73"/>
      <c r="C30" s="73"/>
    </row>
    <row r="45" spans="6:10" x14ac:dyDescent="0.25">
      <c r="F45" s="73"/>
      <c r="G45" s="73"/>
      <c r="H45" s="73"/>
      <c r="I45" s="73"/>
      <c r="J45" s="73"/>
    </row>
  </sheetData>
  <dataConsolidate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Graphs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2017-01-27T07:12:17Z</dcterms:modified>
</cp:coreProperties>
</file>